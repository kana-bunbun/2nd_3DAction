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1\Desktop\2nd_3DAction\DXLibProject_Start\Data\CSV\"/>
    </mc:Choice>
  </mc:AlternateContent>
  <xr:revisionPtr revIDLastSave="0" documentId="13_ncr:1_{78350941-FE1F-4792-8800-EB83F7BB5DD8}" xr6:coauthVersionLast="47" xr6:coauthVersionMax="47" xr10:uidLastSave="{00000000-0000-0000-0000-000000000000}"/>
  <bookViews>
    <workbookView xWindow="2340" yWindow="2340" windowWidth="21585" windowHeight="11295" xr2:uid="{00000000-000D-0000-FFFF-FFFF00000000}"/>
  </bookViews>
  <sheets>
    <sheet name="Sheet1" sheetId="1" r:id="rId1"/>
    <sheet name="Referenc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3" i="1" l="1"/>
  <c r="I3" i="1"/>
  <c r="H3" i="1"/>
  <c r="I2" i="1"/>
  <c r="H2" i="1"/>
  <c r="G2" i="1"/>
  <c r="G4" i="1"/>
  <c r="H4" i="1"/>
  <c r="I4" i="1"/>
  <c r="G5" i="1"/>
  <c r="H5" i="1"/>
  <c r="I5" i="1"/>
  <c r="G6" i="1"/>
  <c r="H6" i="1"/>
  <c r="I6" i="1"/>
  <c r="G7" i="1"/>
  <c r="H7" i="1"/>
  <c r="I7" i="1"/>
</calcChain>
</file>

<file path=xl/sharedStrings.xml><?xml version="1.0" encoding="utf-8"?>
<sst xmlns="http://schemas.openxmlformats.org/spreadsheetml/2006/main" count="42" uniqueCount="28">
  <si>
    <t>ID</t>
    <phoneticPr fontId="1"/>
  </si>
  <si>
    <t>RangeType</t>
    <phoneticPr fontId="1"/>
  </si>
  <si>
    <t>Sphere</t>
    <phoneticPr fontId="1"/>
  </si>
  <si>
    <t>AABB</t>
    <phoneticPr fontId="1"/>
  </si>
  <si>
    <t>comment</t>
    <phoneticPr fontId="1"/>
  </si>
  <si>
    <t>comment[1]</t>
  </si>
  <si>
    <t>comment[2]</t>
  </si>
  <si>
    <t>半径</t>
    <rPh sb="0" eb="2">
      <t>ハンケイ</t>
    </rPh>
    <phoneticPr fontId="1"/>
  </si>
  <si>
    <t>未使用</t>
    <rPh sb="0" eb="3">
      <t>ミシヨウ</t>
    </rPh>
    <phoneticPr fontId="1"/>
  </si>
  <si>
    <t>comment[0]</t>
    <phoneticPr fontId="1"/>
  </si>
  <si>
    <t>各軸の大きさ</t>
    <rPh sb="0" eb="1">
      <t>カク</t>
    </rPh>
    <rPh sb="1" eb="2">
      <t>ジク</t>
    </rPh>
    <rPh sb="3" eb="4">
      <t>オオ</t>
    </rPh>
    <phoneticPr fontId="1"/>
  </si>
  <si>
    <t>オフセット座標</t>
    <rPh sb="5" eb="7">
      <t>ザヒョウ</t>
    </rPh>
    <phoneticPr fontId="1"/>
  </si>
  <si>
    <t>0,0,0</t>
    <phoneticPr fontId="1"/>
  </si>
  <si>
    <t>300.0,300.0,300.0</t>
    <phoneticPr fontId="1"/>
  </si>
  <si>
    <t>Param[0]</t>
    <phoneticPr fontId="1"/>
  </si>
  <si>
    <t>Param[1]</t>
  </si>
  <si>
    <t>Param[2]</t>
  </si>
  <si>
    <t xml:space="preserve"> 78.0,195.0,78.0</t>
    <phoneticPr fontId="1"/>
  </si>
  <si>
    <t>0.0,98.0,0.0</t>
    <phoneticPr fontId="1"/>
  </si>
  <si>
    <t>0.0,0.0,0.0</t>
    <phoneticPr fontId="1"/>
  </si>
  <si>
    <t>プレイヤーと地形の当たり判定</t>
    <rPh sb="6" eb="8">
      <t>チケイ</t>
    </rPh>
    <rPh sb="9" eb="10">
      <t>ア</t>
    </rPh>
    <rPh sb="12" eb="14">
      <t>ハンテイ</t>
    </rPh>
    <phoneticPr fontId="1"/>
  </si>
  <si>
    <t>ドラゴンと地形の当たり判定</t>
    <rPh sb="5" eb="7">
      <t>チケイ</t>
    </rPh>
    <rPh sb="8" eb="9">
      <t>ア</t>
    </rPh>
    <rPh sb="11" eb="13">
      <t>ハンテイ</t>
    </rPh>
    <phoneticPr fontId="1"/>
  </si>
  <si>
    <t>回復瓶S本体の当たり判定</t>
    <rPh sb="0" eb="2">
      <t>カイフク</t>
    </rPh>
    <rPh sb="2" eb="3">
      <t>ビン</t>
    </rPh>
    <rPh sb="4" eb="6">
      <t>ホンタイ</t>
    </rPh>
    <rPh sb="7" eb="8">
      <t>ア</t>
    </rPh>
    <rPh sb="10" eb="12">
      <t>ハンテイ</t>
    </rPh>
    <phoneticPr fontId="1"/>
  </si>
  <si>
    <t>回復瓶Sのエフェクトの当たり判定</t>
    <rPh sb="0" eb="2">
      <t>カイフク</t>
    </rPh>
    <rPh sb="11" eb="12">
      <t>ア</t>
    </rPh>
    <rPh sb="14" eb="16">
      <t>ハンテイ</t>
    </rPh>
    <phoneticPr fontId="1"/>
  </si>
  <si>
    <t>火炎瓶S本体の当たり判定</t>
    <rPh sb="0" eb="3">
      <t>カエンビン</t>
    </rPh>
    <rPh sb="4" eb="6">
      <t>ホンタイ</t>
    </rPh>
    <rPh sb="6" eb="7">
      <t>ア</t>
    </rPh>
    <rPh sb="9" eb="11">
      <t>ハンテイ</t>
    </rPh>
    <phoneticPr fontId="1"/>
  </si>
  <si>
    <t>火炎瓶Sのエフェクトの当たり判定</t>
    <rPh sb="0" eb="3">
      <t>カエンビン</t>
    </rPh>
    <rPh sb="11" eb="12">
      <t>ア</t>
    </rPh>
    <rPh sb="14" eb="16">
      <t>ハンテイ</t>
    </rPh>
    <phoneticPr fontId="1"/>
  </si>
  <si>
    <t>Sphere</t>
  </si>
  <si>
    <t>AABB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</si>
</sst>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3" fontId="0" fillId="0" borderId="1" xfId="0" applyNumberForma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C3" sqref="C3"/>
    </sheetView>
  </sheetViews>
  <sheetFormatPr defaultRowHeight="18.75"/>
  <cols>
    <col min="1" max="1" width="8.5" bestFit="1" customWidth="1"/>
    <col min="2" max="2" width="33" bestFit="1" customWidth="1"/>
    <col min="3" max="3" width="11.125" bestFit="1" customWidth="1"/>
    <col min="4" max="4" width="17.625" bestFit="1" customWidth="1"/>
    <col min="5" max="5" width="16.625" bestFit="1" customWidth="1"/>
    <col min="7" max="9" width="12.25" bestFit="1" customWidth="1"/>
  </cols>
  <sheetData>
    <row r="1" spans="1:9">
      <c r="A1" s="1" t="s">
        <v>0</v>
      </c>
      <c r="B1" s="1" t="s">
        <v>4</v>
      </c>
      <c r="C1" s="1" t="s">
        <v>1</v>
      </c>
      <c r="D1" s="1" t="s">
        <v>14</v>
      </c>
      <c r="E1" s="1" t="s">
        <v>15</v>
      </c>
      <c r="F1" s="1" t="s">
        <v>16</v>
      </c>
      <c r="G1" s="1" t="s">
        <v>9</v>
      </c>
      <c r="H1" s="1" t="s">
        <v>5</v>
      </c>
      <c r="I1" s="1" t="s">
        <v>6</v>
      </c>
    </row>
    <row r="2" spans="1:9">
      <c r="A2" s="1">
        <v>0</v>
      </c>
      <c r="B2" s="1" t="s">
        <v>20</v>
      </c>
      <c r="C2" s="1" t="s">
        <v>27</v>
      </c>
      <c r="D2" s="1" t="s">
        <v>17</v>
      </c>
      <c r="E2" t="s">
        <v>18</v>
      </c>
      <c r="F2" s="1">
        <v>-1</v>
      </c>
      <c r="G2" s="1" t="str">
        <f>VLOOKUP(C2,Reference!B:F,3,FALSE)</f>
        <v>各軸の大きさ</v>
      </c>
      <c r="H2" s="1" t="str">
        <f>VLOOKUP(C2,Reference!B:F,4,FALSE)</f>
        <v>オフセット座標</v>
      </c>
      <c r="I2" s="1" t="str">
        <f>VLOOKUP(C2,Reference!B:F,5,FALSE)</f>
        <v>未使用</v>
      </c>
    </row>
    <row r="3" spans="1:9">
      <c r="A3" s="1">
        <v>10</v>
      </c>
      <c r="B3" s="1" t="s">
        <v>21</v>
      </c>
      <c r="C3" s="1" t="s">
        <v>27</v>
      </c>
      <c r="D3" s="2" t="s">
        <v>13</v>
      </c>
      <c r="E3" s="1" t="s">
        <v>12</v>
      </c>
      <c r="F3" s="1">
        <v>-1</v>
      </c>
      <c r="G3" s="1" t="str">
        <f>VLOOKUP(C3,Reference!B:F,3,FALSE)</f>
        <v>各軸の大きさ</v>
      </c>
      <c r="H3" s="1" t="str">
        <f>VLOOKUP(C3,Reference!B:F,4,FALSE)</f>
        <v>オフセット座標</v>
      </c>
      <c r="I3" s="1" t="str">
        <f>VLOOKUP(C3,Reference!B:F,5,FALSE)</f>
        <v>未使用</v>
      </c>
    </row>
    <row r="4" spans="1:9">
      <c r="A4" s="1">
        <v>100</v>
      </c>
      <c r="B4" s="1" t="s">
        <v>22</v>
      </c>
      <c r="C4" s="1" t="s">
        <v>26</v>
      </c>
      <c r="D4" s="1">
        <v>30</v>
      </c>
      <c r="E4" s="2" t="s">
        <v>19</v>
      </c>
      <c r="F4" s="1">
        <v>-1</v>
      </c>
      <c r="G4" s="1" t="str">
        <f>VLOOKUP(C:C,Reference!B:F,3,FALSE)</f>
        <v>半径</v>
      </c>
      <c r="H4" s="1" t="str">
        <f>VLOOKUP(C:C,Reference!B:G,4,FALSE)</f>
        <v>オフセット座標</v>
      </c>
      <c r="I4" s="1" t="str">
        <f>VLOOKUP(C:C,Reference!B:G,5,FALSE)</f>
        <v>未使用</v>
      </c>
    </row>
    <row r="5" spans="1:9">
      <c r="A5" s="1">
        <v>101</v>
      </c>
      <c r="B5" s="1" t="s">
        <v>23</v>
      </c>
      <c r="C5" s="1" t="s">
        <v>26</v>
      </c>
      <c r="D5" s="1">
        <v>420</v>
      </c>
      <c r="E5" s="2" t="s">
        <v>19</v>
      </c>
      <c r="F5" s="1">
        <v>-1</v>
      </c>
      <c r="G5" s="1" t="str">
        <f>VLOOKUP(C:C,Reference!B:F,3,FALSE)</f>
        <v>半径</v>
      </c>
      <c r="H5" s="1" t="str">
        <f>VLOOKUP(C:C,Reference!B:G,4,FALSE)</f>
        <v>オフセット座標</v>
      </c>
      <c r="I5" s="1" t="str">
        <f>VLOOKUP(C:C,Reference!B:G,5,FALSE)</f>
        <v>未使用</v>
      </c>
    </row>
    <row r="6" spans="1:9">
      <c r="A6" s="1">
        <v>200</v>
      </c>
      <c r="B6" s="1" t="s">
        <v>24</v>
      </c>
      <c r="C6" s="1" t="s">
        <v>26</v>
      </c>
      <c r="D6" s="1">
        <v>30</v>
      </c>
      <c r="E6" s="2" t="s">
        <v>19</v>
      </c>
      <c r="F6" s="1">
        <v>-1</v>
      </c>
      <c r="G6" s="1" t="str">
        <f>VLOOKUP(C:C,Reference!B:F,3,FALSE)</f>
        <v>半径</v>
      </c>
      <c r="H6" s="1" t="str">
        <f>VLOOKUP(C:C,Reference!B:G,4,FALSE)</f>
        <v>オフセット座標</v>
      </c>
      <c r="I6" s="1" t="str">
        <f>VLOOKUP(C:C,Reference!B:G,5,FALSE)</f>
        <v>未使用</v>
      </c>
    </row>
    <row r="7" spans="1:9">
      <c r="A7" s="1">
        <v>201</v>
      </c>
      <c r="B7" s="1" t="s">
        <v>25</v>
      </c>
      <c r="C7" s="1" t="s">
        <v>26</v>
      </c>
      <c r="D7" s="1">
        <v>300</v>
      </c>
      <c r="E7" s="2" t="s">
        <v>19</v>
      </c>
      <c r="F7" s="1">
        <v>-1</v>
      </c>
      <c r="G7" s="1" t="str">
        <f>VLOOKUP(C:C,Reference!B:F,3,FALSE)</f>
        <v>半径</v>
      </c>
      <c r="H7" s="1" t="str">
        <f>VLOOKUP(C:C,Reference!B:G,4,FALSE)</f>
        <v>オフセット座標</v>
      </c>
      <c r="I7" s="1" t="str">
        <f>VLOOKUP(C:C,Reference!B:G,5,FALSE)</f>
        <v>未使用</v>
      </c>
    </row>
  </sheetData>
  <phoneticPr fontId="1"/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1425C653-209B-45D0-B018-8F261089FE99}">
          <x14:formula1>
            <xm:f>Reference!$B$2:$B$1048576</xm:f>
          </x14:formula1>
          <xm:sqref>C2:C7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0FFCA-8B78-448A-A3CA-89DAA32C993A}">
  <dimension ref="A1:F3"/>
  <sheetViews>
    <sheetView workbookViewId="0">
      <selection activeCell="E3" sqref="E3"/>
    </sheetView>
  </sheetViews>
  <sheetFormatPr defaultRowHeight="18.75"/>
  <cols>
    <col min="2" max="2" width="11.125" bestFit="1" customWidth="1"/>
    <col min="3" max="3" width="12.25" bestFit="1" customWidth="1"/>
    <col min="4" max="5" width="15.125" bestFit="1" customWidth="1"/>
  </cols>
  <sheetData>
    <row r="1" spans="1:6">
      <c r="A1" t="s">
        <v>0</v>
      </c>
      <c r="B1" t="s">
        <v>1</v>
      </c>
      <c r="D1" t="s">
        <v>9</v>
      </c>
      <c r="E1" t="s">
        <v>5</v>
      </c>
      <c r="F1" t="s">
        <v>6</v>
      </c>
    </row>
    <row r="2" spans="1:6">
      <c r="A2">
        <v>0</v>
      </c>
      <c r="B2" t="s">
        <v>2</v>
      </c>
      <c r="D2" t="s">
        <v>7</v>
      </c>
      <c r="E2" t="s">
        <v>11</v>
      </c>
      <c r="F2" t="s">
        <v>8</v>
      </c>
    </row>
    <row r="3" spans="1:6">
      <c r="A3">
        <v>1</v>
      </c>
      <c r="B3" t="s">
        <v>3</v>
      </c>
      <c r="D3" t="s">
        <v>10</v>
      </c>
      <c r="E3" t="s">
        <v>11</v>
      </c>
      <c r="F3" t="s">
        <v>8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Reference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髙木　景大</cp:lastModifiedBy>
  <dcterms:created xsi:type="dcterms:W3CDTF">2015-06-05T18:19:34Z</dcterms:created>
  <dcterms:modified xsi:type="dcterms:W3CDTF">2026-09-08T02:01:44Z</dcterms:modified>
</cp:coreProperties>
</file>