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C531E5C3-8DFD-48DB-9B74-0075ACAF9B23}" xr6:coauthVersionLast="47" xr6:coauthVersionMax="47" xr10:uidLastSave="{00000000-0000-0000-0000-000000000000}"/>
  <bookViews>
    <workbookView xWindow="675" yWindow="-15420" windowWidth="21600" windowHeight="11295" xr2:uid="{00000000-000D-0000-FFFF-FFFF00000000}"/>
  </bookViews>
  <sheets>
    <sheet name="Sheet1" sheetId="1" r:id="rId1"/>
    <sheet name="reference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D3" i="1"/>
  <c r="D2" i="1"/>
  <c r="G2" i="1"/>
  <c r="E2" i="1"/>
  <c r="I2" i="1"/>
  <c r="E3" i="1"/>
  <c r="I3" i="1"/>
  <c r="G3" i="1"/>
</calcChain>
</file>

<file path=xl/sharedStrings.xml><?xml version="1.0" encoding="utf-8"?>
<sst xmlns="http://schemas.openxmlformats.org/spreadsheetml/2006/main" count="21" uniqueCount="19">
  <si>
    <t>ID</t>
    <phoneticPr fontId="1"/>
  </si>
  <si>
    <t>comment</t>
    <phoneticPr fontId="1"/>
  </si>
  <si>
    <t>ParamID</t>
    <phoneticPr fontId="1"/>
  </si>
  <si>
    <t>CollisionType</t>
    <phoneticPr fontId="1"/>
  </si>
  <si>
    <t>Param[0]</t>
    <phoneticPr fontId="1"/>
  </si>
  <si>
    <t>Param[1]</t>
  </si>
  <si>
    <t>Param[2]</t>
  </si>
  <si>
    <t>Invalid</t>
  </si>
  <si>
    <t>Normal</t>
  </si>
  <si>
    <t>Body</t>
  </si>
  <si>
    <t>Foot</t>
  </si>
  <si>
    <t>Sensor</t>
  </si>
  <si>
    <t>Attack</t>
  </si>
  <si>
    <t>Heal</t>
  </si>
  <si>
    <t>Null</t>
    <phoneticPr fontId="1"/>
  </si>
  <si>
    <t>CollisionTypeName</t>
    <phoneticPr fontId="1"/>
  </si>
  <si>
    <t>ドラゴンと壁の当たり判定</t>
    <rPh sb="5" eb="6">
      <t>カベ</t>
    </rPh>
    <rPh sb="7" eb="8">
      <t>ア</t>
    </rPh>
    <rPh sb="10" eb="12">
      <t>ハンテイ</t>
    </rPh>
    <phoneticPr fontId="1"/>
  </si>
  <si>
    <t>プレイヤーと壁の当たり判定</t>
    <rPh sb="6" eb="7">
      <t>カベ</t>
    </rPh>
    <rPh sb="8" eb="9">
      <t>ア</t>
    </rPh>
    <rPh sb="11" eb="13">
      <t>ハンテイ</t>
    </rPh>
    <phoneticPr fontId="1"/>
  </si>
  <si>
    <t>RangeType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</si>
</sst>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llisionParam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llisionPa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erence"/>
    </sheetNames>
    <sheetDataSet>
      <sheetData sheetId="0">
        <row r="1">
          <cell r="A1" t="str">
            <v>ID</v>
          </cell>
          <cell r="B1" t="str">
            <v>RangeType</v>
          </cell>
          <cell r="C1" t="str">
            <v>comment</v>
          </cell>
          <cell r="D1" t="str">
            <v>Param[0]</v>
          </cell>
          <cell r="E1" t="str">
            <v>Param[1]</v>
          </cell>
          <cell r="F1" t="str">
            <v>Param[2]</v>
          </cell>
        </row>
        <row r="2">
          <cell r="A2">
            <v>0</v>
          </cell>
          <cell r="B2">
            <v>0</v>
          </cell>
          <cell r="C2" t="str">
            <v>Sphere</v>
          </cell>
          <cell r="D2">
            <v>80</v>
          </cell>
          <cell r="E2" t="str">
            <v>0.0,0.0,0.0</v>
          </cell>
          <cell r="F2">
            <v>-1</v>
          </cell>
        </row>
        <row r="3">
          <cell r="A3">
            <v>1</v>
          </cell>
          <cell r="B3">
            <v>1</v>
          </cell>
          <cell r="C3" t="str">
            <v>AABB</v>
          </cell>
          <cell r="D3" t="str">
            <v>0.0,98.0,0.0</v>
          </cell>
          <cell r="E3" t="str">
            <v xml:space="preserve"> 178.0,195.0,78.0</v>
          </cell>
          <cell r="F3">
            <v>-1</v>
          </cell>
        </row>
        <row r="4">
          <cell r="A4">
            <v>10</v>
          </cell>
          <cell r="B4">
            <v>1</v>
          </cell>
          <cell r="C4" t="str">
            <v>AABB</v>
          </cell>
          <cell r="D4" t="str">
            <v>0,0,0</v>
          </cell>
          <cell r="E4" t="str">
            <v>300.0,300.0,300.0</v>
          </cell>
          <cell r="F4">
            <v>-1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erence"/>
    </sheetNames>
    <sheetDataSet>
      <sheetData sheetId="0">
        <row r="1">
          <cell r="A1" t="str">
            <v>ID</v>
          </cell>
          <cell r="B1" t="str">
            <v>RangeType</v>
          </cell>
          <cell r="C1" t="str">
            <v>comment</v>
          </cell>
          <cell r="D1" t="str">
            <v>Param[0]</v>
          </cell>
          <cell r="E1" t="str">
            <v>Param[1]</v>
          </cell>
        </row>
        <row r="2">
          <cell r="A2">
            <v>0</v>
          </cell>
          <cell r="B2">
            <v>0</v>
          </cell>
          <cell r="C2" t="str">
            <v>Sphere</v>
          </cell>
          <cell r="D2">
            <v>80</v>
          </cell>
          <cell r="E2" t="str">
            <v>0.0,0.0,0.0</v>
          </cell>
        </row>
        <row r="3">
          <cell r="A3">
            <v>1</v>
          </cell>
          <cell r="B3">
            <v>1</v>
          </cell>
          <cell r="C3" t="str">
            <v>AABB</v>
          </cell>
          <cell r="D3" t="str">
            <v>0.0,98.0,0.0</v>
          </cell>
          <cell r="E3" t="str">
            <v xml:space="preserve"> 78.0,195.0,78.0</v>
          </cell>
        </row>
        <row r="4">
          <cell r="A4">
            <v>10</v>
          </cell>
          <cell r="B4">
            <v>1</v>
          </cell>
          <cell r="C4" t="str">
            <v>AABB</v>
          </cell>
          <cell r="D4" t="str">
            <v>0,0,0</v>
          </cell>
          <cell r="E4" t="str">
            <v>300.0,300.0,300.0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"/>
    </sheetView>
  </sheetViews>
  <sheetFormatPr defaultRowHeight="18.75"/>
  <cols>
    <col min="2" max="2" width="25.5" bestFit="1" customWidth="1"/>
    <col min="4" max="4" width="11.125" bestFit="1" customWidth="1"/>
    <col min="5" max="6" width="18.875" bestFit="1" customWidth="1"/>
    <col min="7" max="7" width="11.125" bestFit="1" customWidth="1"/>
    <col min="8" max="8" width="15" bestFit="1" customWidth="1"/>
  </cols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15</v>
      </c>
      <c r="G1" t="s">
        <v>4</v>
      </c>
      <c r="H1" t="s">
        <v>5</v>
      </c>
      <c r="I1" t="s">
        <v>6</v>
      </c>
    </row>
    <row r="2" spans="1:9">
      <c r="A2">
        <v>0</v>
      </c>
      <c r="B2" t="s">
        <v>17</v>
      </c>
      <c r="C2">
        <v>1</v>
      </c>
      <c r="D2">
        <f>VLOOKUP(C2,[1]Sheet1!$A:$F,2,FALSE)</f>
        <v>1</v>
      </c>
      <c r="E2">
        <f>VLOOKUP(F2,reference!A:B,2,FALSE)</f>
        <v>1</v>
      </c>
      <c r="F2" s="2" t="s">
        <v>9</v>
      </c>
      <c r="G2" t="str">
        <f>VLOOKUP(C2,[1]Sheet1!$A:$F,4,FALSE)</f>
        <v>0.0,98.0,0.0</v>
      </c>
      <c r="H2" t="str">
        <f>VLOOKUP(C2,[2]Sheet1!$A:$E,5,FALSE)</f>
        <v xml:space="preserve"> 78.0,195.0,78.0</v>
      </c>
      <c r="I2">
        <f>VLOOKUP(C2,[1]Sheet1!$A:$F,6,FALSE)</f>
        <v>-1</v>
      </c>
    </row>
    <row r="3" spans="1:9">
      <c r="A3">
        <v>10</v>
      </c>
      <c r="B3" t="s">
        <v>16</v>
      </c>
      <c r="C3">
        <v>10</v>
      </c>
      <c r="D3">
        <f>VLOOKUP(C3,[1]Sheet1!$A:$F,2,FALSE)</f>
        <v>1</v>
      </c>
      <c r="E3">
        <f>VLOOKUP(F3,reference!A:B,2,FALSE)</f>
        <v>1</v>
      </c>
      <c r="F3" s="2" t="s">
        <v>9</v>
      </c>
      <c r="G3" t="str">
        <f>VLOOKUP(C3,[1]Sheet1!$A:$F,4,FALSE)</f>
        <v>0,0,0</v>
      </c>
      <c r="H3" t="str">
        <f>VLOOKUP(C3,[2]Sheet1!$A:$E,5,FALSE)</f>
        <v>300.0,300.0,300.0</v>
      </c>
      <c r="I3">
        <f>VLOOKUP(C3,[1]Sheet1!$A:$F,6,FALSE)</f>
        <v>-1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DF3D82-B2B9-4E3D-AC94-A00962FD53D9}">
          <x14:formula1>
            <xm:f>reference!$A:$A</xm:f>
          </x14:formula1>
          <xm:sqref>F2:F3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378D-FB2E-4432-9E50-1B005DFDE695}">
  <dimension ref="A1:D10"/>
  <sheetViews>
    <sheetView workbookViewId="0">
      <selection activeCell="B30" sqref="B30"/>
    </sheetView>
  </sheetViews>
  <sheetFormatPr defaultRowHeight="18.75"/>
  <sheetData>
    <row r="1" spans="1:4">
      <c r="A1" t="s">
        <v>7</v>
      </c>
      <c r="B1">
        <v>-1</v>
      </c>
    </row>
    <row r="2" spans="1:4">
      <c r="A2" t="s">
        <v>8</v>
      </c>
      <c r="B2">
        <v>0</v>
      </c>
    </row>
    <row r="3" spans="1:4">
      <c r="A3" t="s">
        <v>9</v>
      </c>
      <c r="B3">
        <v>1</v>
      </c>
    </row>
    <row r="4" spans="1:4">
      <c r="A4" t="s">
        <v>10</v>
      </c>
      <c r="B4">
        <v>2</v>
      </c>
    </row>
    <row r="5" spans="1:4">
      <c r="A5" t="s">
        <v>11</v>
      </c>
      <c r="B5">
        <v>3</v>
      </c>
      <c r="D5" s="1"/>
    </row>
    <row r="6" spans="1:4">
      <c r="A6" t="s">
        <v>12</v>
      </c>
      <c r="B6">
        <v>4</v>
      </c>
      <c r="D6" s="1"/>
    </row>
    <row r="7" spans="1:4">
      <c r="A7" t="s">
        <v>13</v>
      </c>
      <c r="B7">
        <v>5</v>
      </c>
      <c r="D7" s="1"/>
    </row>
    <row r="8" spans="1:4">
      <c r="A8" t="s">
        <v>14</v>
      </c>
      <c r="B8">
        <v>6</v>
      </c>
      <c r="D8" s="1"/>
    </row>
    <row r="9" spans="1:4">
      <c r="D9" s="1"/>
    </row>
    <row r="10" spans="1:4">
      <c r="D1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2026-07-26T08:28:44Z</dcterms:modified>
</cp:coreProperties>
</file>