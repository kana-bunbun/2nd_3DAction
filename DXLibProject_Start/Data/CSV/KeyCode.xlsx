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9664323D-05B2-4F18-90CB-FA81F1E6126F}" xr6:coauthVersionLast="47" xr6:coauthVersionMax="47" xr10:uidLastSave="{00000000-0000-0000-0000-000000000000}"/>
  <bookViews>
    <workbookView xWindow="4050" yWindow="-13485" windowWidth="21585" windowHeight="11295" xr2:uid="{00000000-000D-0000-FFFF-FFFF00000000}"/>
  </bookViews>
  <sheets>
    <sheet name="KeyCode" sheetId="1" r:id="rId1"/>
    <sheet name="Action" sheetId="3" r:id="rId2"/>
    <sheet name="Dev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  <c r="D3" i="1"/>
  <c r="I19" i="3"/>
  <c r="J19" i="3"/>
  <c r="K19" i="3"/>
  <c r="L19" i="3"/>
  <c r="M19" i="3"/>
  <c r="N19" i="3"/>
  <c r="I18" i="3"/>
  <c r="J18" i="3"/>
  <c r="K18" i="3"/>
  <c r="L18" i="3"/>
  <c r="M18" i="3"/>
  <c r="N18" i="3"/>
  <c r="I17" i="3"/>
  <c r="J17" i="3"/>
  <c r="K17" i="3"/>
  <c r="L17" i="3"/>
  <c r="M17" i="3"/>
  <c r="N17" i="3"/>
  <c r="I16" i="3"/>
  <c r="J16" i="3"/>
  <c r="K16" i="3"/>
  <c r="L16" i="3"/>
  <c r="M16" i="3"/>
  <c r="N16" i="3"/>
  <c r="N9" i="3"/>
  <c r="M9" i="3"/>
  <c r="L9" i="3"/>
  <c r="K9" i="3"/>
  <c r="J9" i="3"/>
  <c r="I9" i="3"/>
  <c r="I15" i="3"/>
  <c r="J15" i="3"/>
  <c r="K15" i="3"/>
  <c r="L15" i="3"/>
  <c r="M15" i="3"/>
  <c r="N15" i="3"/>
  <c r="I13" i="3"/>
  <c r="J13" i="3"/>
  <c r="K13" i="3"/>
  <c r="L13" i="3"/>
  <c r="M13" i="3"/>
  <c r="N13" i="3"/>
  <c r="I14" i="3"/>
  <c r="J14" i="3"/>
  <c r="K14" i="3"/>
  <c r="L14" i="3"/>
  <c r="M14" i="3"/>
  <c r="N14" i="3"/>
  <c r="N12" i="3"/>
  <c r="M12" i="3"/>
  <c r="L12" i="3"/>
  <c r="K12" i="3"/>
  <c r="J12" i="3"/>
  <c r="I12" i="3"/>
  <c r="N11" i="3"/>
  <c r="M11" i="3"/>
  <c r="L11" i="3"/>
  <c r="K11" i="3"/>
  <c r="J11" i="3"/>
  <c r="I11" i="3"/>
  <c r="I10" i="3"/>
  <c r="J10" i="3"/>
  <c r="K10" i="3"/>
  <c r="L10" i="3"/>
  <c r="M10" i="3"/>
  <c r="N10" i="3"/>
  <c r="N2" i="3"/>
  <c r="M2" i="3"/>
  <c r="L2" i="3"/>
  <c r="N3" i="3"/>
  <c r="N4" i="3"/>
  <c r="N5" i="3"/>
  <c r="N6" i="3"/>
  <c r="N7" i="3"/>
  <c r="N8" i="3"/>
  <c r="M3" i="3"/>
  <c r="M4" i="3"/>
  <c r="M5" i="3"/>
  <c r="M6" i="3"/>
  <c r="M7" i="3"/>
  <c r="M8" i="3"/>
  <c r="L3" i="3"/>
  <c r="L4" i="3"/>
  <c r="L5" i="3"/>
  <c r="L6" i="3"/>
  <c r="L7" i="3"/>
  <c r="L8" i="3"/>
  <c r="K3" i="3"/>
  <c r="K4" i="3"/>
  <c r="K5" i="3"/>
  <c r="K6" i="3"/>
  <c r="K7" i="3"/>
  <c r="K8" i="3"/>
  <c r="K2" i="3"/>
  <c r="J3" i="3"/>
  <c r="J4" i="3"/>
  <c r="J5" i="3"/>
  <c r="J6" i="3"/>
  <c r="J7" i="3"/>
  <c r="J8" i="3"/>
  <c r="J2" i="3"/>
  <c r="I3" i="3"/>
  <c r="I4" i="3"/>
  <c r="I5" i="3"/>
  <c r="I6" i="3"/>
  <c r="I7" i="3"/>
  <c r="I8" i="3"/>
  <c r="I2" i="3"/>
</calcChain>
</file>

<file path=xl/sharedStrings.xml><?xml version="1.0" encoding="utf-8"?>
<sst xmlns="http://schemas.openxmlformats.org/spreadsheetml/2006/main" count="405" uniqueCount="189">
  <si>
    <t>GpUp</t>
  </si>
  <si>
    <t>GpRight</t>
  </si>
  <si>
    <t>GpDown</t>
  </si>
  <si>
    <t>GpLeft</t>
  </si>
  <si>
    <t>GpNorth</t>
  </si>
  <si>
    <t>GpEast</t>
  </si>
  <si>
    <t>GpSouth</t>
  </si>
  <si>
    <t>GpWest</t>
  </si>
  <si>
    <t>GpStart</t>
  </si>
  <si>
    <t>GpRightTrigger</t>
  </si>
  <si>
    <t>GpLeftThumb</t>
  </si>
  <si>
    <t>GpLeftThumbUp</t>
  </si>
  <si>
    <t>GpLeftThumbRight</t>
  </si>
  <si>
    <t>GpLeftThumbDown</t>
  </si>
  <si>
    <t>GpLeftThumbLeft</t>
  </si>
  <si>
    <t>GamePad</t>
  </si>
  <si>
    <t>GamePad</t>
    <phoneticPr fontId="1"/>
  </si>
  <si>
    <t>Keyboard</t>
    <phoneticPr fontId="1"/>
  </si>
  <si>
    <t>Mouce</t>
    <phoneticPr fontId="1"/>
  </si>
  <si>
    <t>Action</t>
    <phoneticPr fontId="1"/>
  </si>
  <si>
    <t>Key[0]</t>
    <phoneticPr fontId="1"/>
  </si>
  <si>
    <t>Key[1]</t>
    <phoneticPr fontId="1"/>
  </si>
  <si>
    <t>Key[2]</t>
  </si>
  <si>
    <t>Key[3]</t>
  </si>
  <si>
    <t>Key[4]</t>
  </si>
  <si>
    <t>Key[5]</t>
  </si>
  <si>
    <t>Up</t>
  </si>
  <si>
    <t>Right</t>
  </si>
  <si>
    <t>Down</t>
  </si>
  <si>
    <t>Left</t>
  </si>
  <si>
    <t>Decide</t>
  </si>
  <si>
    <t>Cancel</t>
  </si>
  <si>
    <t>Menu</t>
  </si>
  <si>
    <t>Invalid</t>
  </si>
  <si>
    <t>Invalid</t>
    <phoneticPr fontId="1"/>
  </si>
  <si>
    <t>KeyID[0]</t>
    <phoneticPr fontId="1"/>
  </si>
  <si>
    <t>KeyID[1]</t>
    <phoneticPr fontId="1"/>
  </si>
  <si>
    <t>KeyID[2]</t>
    <phoneticPr fontId="1"/>
  </si>
  <si>
    <t>KeyID[3]</t>
    <phoneticPr fontId="1"/>
  </si>
  <si>
    <t>KeyID[4]</t>
    <phoneticPr fontId="1"/>
  </si>
  <si>
    <t>KeyID[5]</t>
    <phoneticPr fontId="1"/>
  </si>
  <si>
    <t>ActionID</t>
    <phoneticPr fontId="1"/>
  </si>
  <si>
    <t>DeviceKeyID</t>
  </si>
  <si>
    <t>DeviceID</t>
  </si>
  <si>
    <t>Device</t>
  </si>
  <si>
    <t>KeyID</t>
  </si>
  <si>
    <t>Key</t>
  </si>
  <si>
    <t>Move</t>
    <phoneticPr fontId="1"/>
  </si>
  <si>
    <t>SelectMove</t>
    <phoneticPr fontId="1"/>
  </si>
  <si>
    <t>Camera</t>
    <phoneticPr fontId="1"/>
  </si>
  <si>
    <t>GpCross</t>
  </si>
  <si>
    <t>DragonCall</t>
  </si>
  <si>
    <t>Dash</t>
  </si>
  <si>
    <t>Parry</t>
    <phoneticPr fontId="1"/>
  </si>
  <si>
    <t>Start</t>
    <phoneticPr fontId="1"/>
  </si>
  <si>
    <t>GpLeftVector</t>
  </si>
  <si>
    <t>GpRightVector</t>
  </si>
  <si>
    <t>CursorMove</t>
    <phoneticPr fontId="1"/>
  </si>
  <si>
    <t>ItemCursorMove</t>
    <phoneticPr fontId="1"/>
  </si>
  <si>
    <t>UseItem</t>
    <phoneticPr fontId="1"/>
  </si>
  <si>
    <t>PickUpItem</t>
    <phoneticPr fontId="1"/>
  </si>
  <si>
    <t>KeyBoard_Back</t>
  </si>
  <si>
    <t>KeyBoard_Tab</t>
  </si>
  <si>
    <t>KeyBoard_Return</t>
  </si>
  <si>
    <t>KeyBoard_LShift</t>
  </si>
  <si>
    <t>KeyBoard_RShift</t>
  </si>
  <si>
    <t>KeyBoard_LControl</t>
  </si>
  <si>
    <t>KeyBoard_RControl</t>
  </si>
  <si>
    <t>KeyBoard_Escape</t>
  </si>
  <si>
    <t>KeyBoard_Space</t>
  </si>
  <si>
    <t>KeyBoard_PGUp</t>
  </si>
  <si>
    <t>KeyBoard_PGDown</t>
  </si>
  <si>
    <t>KeyBoard_End</t>
  </si>
  <si>
    <t>KeyBoard_Home</t>
  </si>
  <si>
    <t>KeyBoard_Left</t>
  </si>
  <si>
    <t>KeyBoard_Up</t>
  </si>
  <si>
    <t>KeyBoard_Right</t>
  </si>
  <si>
    <t>KeyBoard_Down</t>
  </si>
  <si>
    <t>KeyBoard_Insert</t>
  </si>
  <si>
    <t>KeyBoard_Delete</t>
  </si>
  <si>
    <t>KeyBoard_Minus</t>
  </si>
  <si>
    <t>KeyBoard_Yen</t>
  </si>
  <si>
    <t>KeyBoard_Prevtrack</t>
  </si>
  <si>
    <t>KeyBoard_Period</t>
  </si>
  <si>
    <t>KeyBoard_Slash</t>
  </si>
  <si>
    <t>KeyBoard_LAlt</t>
  </si>
  <si>
    <t>KeyBoard_RAlt</t>
  </si>
  <si>
    <t>KeyBoard_Scroll</t>
  </si>
  <si>
    <t>KeyBoard_Semicolon</t>
  </si>
  <si>
    <t>KeyBoard_Colon</t>
  </si>
  <si>
    <t>KeyBoard_LBracket</t>
  </si>
  <si>
    <t>KeyBoard_RBracket</t>
  </si>
  <si>
    <t>KeyBoard_At</t>
  </si>
  <si>
    <t>KeyBoard_BackSlash</t>
  </si>
  <si>
    <t>KeyBoard_Comma</t>
  </si>
  <si>
    <t>KeyBoard_CapsLock</t>
  </si>
  <si>
    <t>KeyBoard_Pause</t>
  </si>
  <si>
    <t>KeyBoard_NumPad0</t>
  </si>
  <si>
    <t>KeyBoard_NumPad1</t>
  </si>
  <si>
    <t>KeyBoard_NumPad2</t>
  </si>
  <si>
    <t>KeyBoard_NumPad3</t>
  </si>
  <si>
    <t>KeyBoard_NumPad4</t>
  </si>
  <si>
    <t>KeyBoard_NumPad5</t>
  </si>
  <si>
    <t>KeyBoard_NumPad6</t>
  </si>
  <si>
    <t>KeyBoard_NumPad7</t>
  </si>
  <si>
    <t>KeyBoard_NumPad8</t>
  </si>
  <si>
    <t>KeyBoard_NumPad9</t>
  </si>
  <si>
    <t>KeyBoard_Multiply</t>
  </si>
  <si>
    <t>KeyBoard_Add</t>
  </si>
  <si>
    <t>KeyBoard_Subtract</t>
  </si>
  <si>
    <t>KeyBoard_DecimalECIMAL</t>
  </si>
  <si>
    <t>KeyBoard_Divide</t>
  </si>
  <si>
    <t>KeyBoard_NumPadEnter</t>
  </si>
  <si>
    <t>KeyBoard_F1</t>
  </si>
  <si>
    <t>KeyBoard_F2</t>
  </si>
  <si>
    <t>KeyBoard_F3</t>
  </si>
  <si>
    <t>KeyBoard_F4</t>
  </si>
  <si>
    <t>KeyBoard_F5</t>
  </si>
  <si>
    <t>KeyBoard_F6</t>
  </si>
  <si>
    <t>KeyBoard_F7</t>
  </si>
  <si>
    <t>KeyBoard_F8</t>
  </si>
  <si>
    <t>KeyBoard_F9</t>
  </si>
  <si>
    <t>KeyBoard_F10</t>
  </si>
  <si>
    <t>KeyBoard_F11</t>
  </si>
  <si>
    <t>KeyBoard_F12</t>
  </si>
  <si>
    <t>KeyBoard_A</t>
  </si>
  <si>
    <t>KeyBoard_B</t>
  </si>
  <si>
    <t>KeyBoard_C</t>
  </si>
  <si>
    <t>KeyBoard_D</t>
  </si>
  <si>
    <t>KeyBoard_E</t>
  </si>
  <si>
    <t>KeyBoard_F</t>
  </si>
  <si>
    <t>KeyBoard_G</t>
  </si>
  <si>
    <t>KeyBoard_H</t>
  </si>
  <si>
    <t>KeyBoard_I</t>
  </si>
  <si>
    <t>KeyBoard_J</t>
  </si>
  <si>
    <t>KeyBoard_K</t>
  </si>
  <si>
    <t>KeyBoard_L</t>
  </si>
  <si>
    <t>KeyBoard_M</t>
  </si>
  <si>
    <t>KeyBoard_N</t>
  </si>
  <si>
    <t>KeyBoard_O</t>
  </si>
  <si>
    <t>KeyBoard_P</t>
  </si>
  <si>
    <t>KeyBoard_Q</t>
  </si>
  <si>
    <t>KeyBoard_R</t>
  </si>
  <si>
    <t>KeyBoard_S</t>
  </si>
  <si>
    <t>KeyBoard_T</t>
  </si>
  <si>
    <t>KeyBoard_U</t>
  </si>
  <si>
    <t>KeyBoard_V</t>
  </si>
  <si>
    <t>KeyBoard_W</t>
  </si>
  <si>
    <t>KeyBoard_X</t>
  </si>
  <si>
    <t>KeyBoard_Y</t>
  </si>
  <si>
    <t>KeyBoard_Z</t>
  </si>
  <si>
    <t>KeyBoard_0</t>
  </si>
  <si>
    <t>KeyBoard_1</t>
  </si>
  <si>
    <t>KeyBoard_2</t>
  </si>
  <si>
    <t>KeyBoard_3</t>
  </si>
  <si>
    <t>KeyBoard_4</t>
  </si>
  <si>
    <t>KeyBoard_5</t>
  </si>
  <si>
    <t>KeyBoard_6</t>
  </si>
  <si>
    <t>KeyBoard_7</t>
  </si>
  <si>
    <t>KeyBoard_8</t>
  </si>
  <si>
    <t>KeyBoard_9</t>
  </si>
  <si>
    <t>Keyboard</t>
  </si>
  <si>
    <t>Gp_Up</t>
    <phoneticPr fontId="1"/>
  </si>
  <si>
    <t>Gp_Right</t>
    <phoneticPr fontId="1"/>
  </si>
  <si>
    <t>Gp_Down</t>
    <phoneticPr fontId="1"/>
  </si>
  <si>
    <t>Gp_Left</t>
    <phoneticPr fontId="1"/>
  </si>
  <si>
    <t>Gp_North</t>
    <phoneticPr fontId="1"/>
  </si>
  <si>
    <t>Gp_East</t>
  </si>
  <si>
    <t>Gp_South</t>
  </si>
  <si>
    <t>Gp_West</t>
  </si>
  <si>
    <t>Gp_Start</t>
  </si>
  <si>
    <t>Gp_Back</t>
  </si>
  <si>
    <t>Gp_LeftShoulder</t>
  </si>
  <si>
    <t>Gp_RightShoulder</t>
  </si>
  <si>
    <t>Gp_LeftTrigger</t>
  </si>
  <si>
    <t>Gp_RightTrigger</t>
  </si>
  <si>
    <t>Gp_LeftThumb</t>
  </si>
  <si>
    <t>Gp_RightThumb</t>
  </si>
  <si>
    <t>Gp_LeftThumbUp</t>
  </si>
  <si>
    <t>Gp_LeftThumbRight</t>
  </si>
  <si>
    <t>Gp_LeftThumbDown</t>
  </si>
  <si>
    <t>Gp_LeftThumbLeft</t>
  </si>
  <si>
    <t>Gp_RightThumbUp</t>
  </si>
  <si>
    <t>Gp_RightThumbRight</t>
  </si>
  <si>
    <t>Gp_RightThumbDown</t>
  </si>
  <si>
    <t>Gp_RightThumbLeft</t>
  </si>
  <si>
    <t>Gp_Cross</t>
  </si>
  <si>
    <t>Gp_LeftVector</t>
  </si>
  <si>
    <t>Gp_RightVector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</si>
</sst>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游ゴシック"/>
      <family val="3"/>
      <charset val="128"/>
    </font>
    <font>
      <sz val="1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topLeftCell="A9" workbookViewId="0">
      <selection activeCell="H36" sqref="H36"/>
    </sheetView>
  </sheetViews>
  <sheetFormatPr defaultRowHeight="18.75" customHeight="1"/>
  <cols>
    <col min="1" max="1" width="20.625" bestFit="1" customWidth="1"/>
    <col min="2" max="2" width="6.25" customWidth="1"/>
    <col min="5" max="5" width="23.25" customWidth="1"/>
    <col min="8" max="8" width="18.625" bestFit="1" customWidth="1"/>
  </cols>
  <sheetData>
    <row r="1" spans="1:5" ht="18.75" customHeight="1">
      <c r="A1" s="1" t="s">
        <v>46</v>
      </c>
      <c r="B1" s="1" t="s">
        <v>45</v>
      </c>
      <c r="C1" s="1" t="s">
        <v>44</v>
      </c>
      <c r="D1" s="1" t="s">
        <v>43</v>
      </c>
      <c r="E1" s="1" t="s">
        <v>42</v>
      </c>
    </row>
    <row r="2" spans="1:5" ht="18.75" customHeight="1">
      <c r="A2" s="1" t="s">
        <v>33</v>
      </c>
      <c r="B2" s="1">
        <v>0</v>
      </c>
      <c r="C2" s="1" t="s">
        <v>33</v>
      </c>
      <c r="D2" s="1">
        <f>VLOOKUP(C2,Device!A:B,2,FALSE)</f>
        <v>-1</v>
      </c>
      <c r="E2" s="1">
        <v>-1</v>
      </c>
    </row>
    <row r="3" spans="1:5" ht="18.75" customHeight="1">
      <c r="A3" s="1" t="s">
        <v>162</v>
      </c>
      <c r="B3" s="1">
        <v>1</v>
      </c>
      <c r="C3" s="1" t="s">
        <v>15</v>
      </c>
      <c r="D3" s="1">
        <f>VLOOKUP(C3,Device!A:B,2,FALSE)</f>
        <v>0</v>
      </c>
      <c r="E3" s="1">
        <v>0</v>
      </c>
    </row>
    <row r="4" spans="1:5" ht="18.75" customHeight="1">
      <c r="A4" s="1" t="s">
        <v>163</v>
      </c>
      <c r="B4" s="1">
        <v>2</v>
      </c>
      <c r="C4" s="1" t="s">
        <v>15</v>
      </c>
      <c r="D4" s="1">
        <f>VLOOKUP(C4,Device!A:B,2,FALSE)</f>
        <v>0</v>
      </c>
      <c r="E4" s="1">
        <v>3</v>
      </c>
    </row>
    <row r="5" spans="1:5" ht="18.75" customHeight="1">
      <c r="A5" s="1" t="s">
        <v>164</v>
      </c>
      <c r="B5" s="1">
        <v>3</v>
      </c>
      <c r="C5" s="1" t="s">
        <v>15</v>
      </c>
      <c r="D5" s="1">
        <f>VLOOKUP(C5,Device!A:B,2,FALSE)</f>
        <v>0</v>
      </c>
      <c r="E5" s="1">
        <v>1</v>
      </c>
    </row>
    <row r="6" spans="1:5" ht="18.75" customHeight="1">
      <c r="A6" s="1" t="s">
        <v>165</v>
      </c>
      <c r="B6" s="1">
        <v>4</v>
      </c>
      <c r="C6" s="1" t="s">
        <v>15</v>
      </c>
      <c r="D6" s="1">
        <f>VLOOKUP(C6,Device!A:B,2,FALSE)</f>
        <v>0</v>
      </c>
      <c r="E6" s="1">
        <v>2</v>
      </c>
    </row>
    <row r="7" spans="1:5" ht="18.75" customHeight="1">
      <c r="A7" s="1" t="s">
        <v>166</v>
      </c>
      <c r="B7" s="1">
        <v>5</v>
      </c>
      <c r="C7" s="1" t="s">
        <v>15</v>
      </c>
      <c r="D7" s="1">
        <f>VLOOKUP(C7,Device!A:B,2,FALSE)</f>
        <v>0</v>
      </c>
      <c r="E7" s="1">
        <v>15</v>
      </c>
    </row>
    <row r="8" spans="1:5" ht="18.75" customHeight="1">
      <c r="A8" s="1" t="s">
        <v>167</v>
      </c>
      <c r="B8" s="1">
        <v>6</v>
      </c>
      <c r="C8" s="1" t="s">
        <v>15</v>
      </c>
      <c r="D8" s="1">
        <f>VLOOKUP(C8,Device!A:B,2,FALSE)</f>
        <v>0</v>
      </c>
      <c r="E8" s="1">
        <v>13</v>
      </c>
    </row>
    <row r="9" spans="1:5" ht="18.75" customHeight="1">
      <c r="A9" s="1" t="s">
        <v>168</v>
      </c>
      <c r="B9" s="1">
        <v>7</v>
      </c>
      <c r="C9" s="1" t="s">
        <v>15</v>
      </c>
      <c r="D9" s="1">
        <f>VLOOKUP(C9,Device!A:B,2,FALSE)</f>
        <v>0</v>
      </c>
      <c r="E9" s="1">
        <v>12</v>
      </c>
    </row>
    <row r="10" spans="1:5" ht="18.75" customHeight="1">
      <c r="A10" s="1" t="s">
        <v>169</v>
      </c>
      <c r="B10" s="1">
        <v>8</v>
      </c>
      <c r="C10" s="1" t="s">
        <v>15</v>
      </c>
      <c r="D10" s="1">
        <f>VLOOKUP(C10,Device!A:B,2,FALSE)</f>
        <v>0</v>
      </c>
      <c r="E10" s="1">
        <v>14</v>
      </c>
    </row>
    <row r="11" spans="1:5" ht="18.75" customHeight="1">
      <c r="A11" s="1" t="s">
        <v>170</v>
      </c>
      <c r="B11" s="1">
        <v>9</v>
      </c>
      <c r="C11" s="1" t="s">
        <v>15</v>
      </c>
      <c r="D11" s="1">
        <f>VLOOKUP(C11,Device!A:B,2,FALSE)</f>
        <v>0</v>
      </c>
      <c r="E11" s="1">
        <v>4</v>
      </c>
    </row>
    <row r="12" spans="1:5" ht="18.75" customHeight="1">
      <c r="A12" s="1" t="s">
        <v>171</v>
      </c>
      <c r="B12" s="1">
        <v>10</v>
      </c>
      <c r="C12" s="1" t="s">
        <v>15</v>
      </c>
      <c r="D12" s="1">
        <f>VLOOKUP(C12,Device!A:B,2,FALSE)</f>
        <v>0</v>
      </c>
      <c r="E12" s="1">
        <v>5</v>
      </c>
    </row>
    <row r="13" spans="1:5" ht="18.75" customHeight="1">
      <c r="A13" s="1" t="s">
        <v>172</v>
      </c>
      <c r="B13" s="1">
        <v>11</v>
      </c>
      <c r="C13" s="1" t="s">
        <v>15</v>
      </c>
      <c r="D13" s="1">
        <f>VLOOKUP(C13,Device!A:B,2,FALSE)</f>
        <v>0</v>
      </c>
      <c r="E13" s="1">
        <v>8</v>
      </c>
    </row>
    <row r="14" spans="1:5" ht="18.75" customHeight="1">
      <c r="A14" s="1" t="s">
        <v>173</v>
      </c>
      <c r="B14" s="1">
        <v>12</v>
      </c>
      <c r="C14" s="1" t="s">
        <v>15</v>
      </c>
      <c r="D14" s="1">
        <f>VLOOKUP(C14,Device!A:B,2,FALSE)</f>
        <v>0</v>
      </c>
      <c r="E14" s="1">
        <v>9</v>
      </c>
    </row>
    <row r="15" spans="1:5" ht="18.75" customHeight="1">
      <c r="A15" s="1" t="s">
        <v>174</v>
      </c>
      <c r="B15" s="1">
        <v>13</v>
      </c>
      <c r="C15" s="1" t="s">
        <v>15</v>
      </c>
      <c r="D15" s="1">
        <f>VLOOKUP(C15,Device!A:B,2,FALSE)</f>
        <v>0</v>
      </c>
      <c r="E15" s="1">
        <v>10</v>
      </c>
    </row>
    <row r="16" spans="1:5" ht="18.75" customHeight="1">
      <c r="A16" s="1" t="s">
        <v>175</v>
      </c>
      <c r="B16" s="1">
        <v>14</v>
      </c>
      <c r="C16" s="1" t="s">
        <v>15</v>
      </c>
      <c r="D16" s="1">
        <f>VLOOKUP(C16,Device!A:B,2,FALSE)</f>
        <v>0</v>
      </c>
      <c r="E16" s="1">
        <v>11</v>
      </c>
    </row>
    <row r="17" spans="1:5" ht="18.75" customHeight="1">
      <c r="A17" s="1" t="s">
        <v>176</v>
      </c>
      <c r="B17" s="1">
        <v>15</v>
      </c>
      <c r="C17" s="1" t="s">
        <v>15</v>
      </c>
      <c r="D17" s="1">
        <f>VLOOKUP(C17,Device!A:B,2,FALSE)</f>
        <v>0</v>
      </c>
      <c r="E17" s="1">
        <v>6</v>
      </c>
    </row>
    <row r="18" spans="1:5" ht="18.75" customHeight="1">
      <c r="A18" s="1" t="s">
        <v>177</v>
      </c>
      <c r="B18" s="1">
        <v>16</v>
      </c>
      <c r="C18" s="1" t="s">
        <v>15</v>
      </c>
      <c r="D18" s="1">
        <f>VLOOKUP(C18,Device!A:B,2,FALSE)</f>
        <v>0</v>
      </c>
      <c r="E18" s="1">
        <v>7</v>
      </c>
    </row>
    <row r="19" spans="1:5" ht="18.75" customHeight="1">
      <c r="A19" s="1" t="s">
        <v>178</v>
      </c>
      <c r="B19" s="1">
        <v>17</v>
      </c>
      <c r="C19" s="1" t="s">
        <v>15</v>
      </c>
      <c r="D19" s="1">
        <f>VLOOKUP(C19,Device!A:B,2,FALSE)</f>
        <v>0</v>
      </c>
      <c r="E19" s="1">
        <v>16</v>
      </c>
    </row>
    <row r="20" spans="1:5" ht="18.75" customHeight="1">
      <c r="A20" s="1" t="s">
        <v>179</v>
      </c>
      <c r="B20" s="1">
        <v>18</v>
      </c>
      <c r="C20" s="1" t="s">
        <v>15</v>
      </c>
      <c r="D20" s="1">
        <f>VLOOKUP(C20,Device!A:B,2,FALSE)</f>
        <v>0</v>
      </c>
      <c r="E20" s="1">
        <v>17</v>
      </c>
    </row>
    <row r="21" spans="1:5" ht="18.75" customHeight="1">
      <c r="A21" s="1" t="s">
        <v>180</v>
      </c>
      <c r="B21" s="1">
        <v>19</v>
      </c>
      <c r="C21" s="1" t="s">
        <v>15</v>
      </c>
      <c r="D21" s="1">
        <f>VLOOKUP(C21,Device!A:B,2,FALSE)</f>
        <v>0</v>
      </c>
      <c r="E21" s="1">
        <v>18</v>
      </c>
    </row>
    <row r="22" spans="1:5" ht="18.75" customHeight="1">
      <c r="A22" s="1" t="s">
        <v>181</v>
      </c>
      <c r="B22" s="1">
        <v>20</v>
      </c>
      <c r="C22" s="1" t="s">
        <v>15</v>
      </c>
      <c r="D22" s="1">
        <f>VLOOKUP(C22,Device!A:B,2,FALSE)</f>
        <v>0</v>
      </c>
      <c r="E22" s="1">
        <v>19</v>
      </c>
    </row>
    <row r="23" spans="1:5" ht="18.75" customHeight="1">
      <c r="A23" s="1" t="s">
        <v>182</v>
      </c>
      <c r="B23" s="1">
        <v>21</v>
      </c>
      <c r="C23" s="1" t="s">
        <v>15</v>
      </c>
      <c r="D23" s="1">
        <f>VLOOKUP(C23,Device!A:B,2,FALSE)</f>
        <v>0</v>
      </c>
      <c r="E23" s="1">
        <v>20</v>
      </c>
    </row>
    <row r="24" spans="1:5" ht="18.75" customHeight="1">
      <c r="A24" s="1" t="s">
        <v>183</v>
      </c>
      <c r="B24" s="1">
        <v>22</v>
      </c>
      <c r="C24" s="1" t="s">
        <v>15</v>
      </c>
      <c r="D24" s="1">
        <f>VLOOKUP(C24,Device!A:B,2,FALSE)</f>
        <v>0</v>
      </c>
      <c r="E24" s="1">
        <v>21</v>
      </c>
    </row>
    <row r="25" spans="1:5" ht="18.75" customHeight="1">
      <c r="A25" s="1" t="s">
        <v>184</v>
      </c>
      <c r="B25" s="1">
        <v>23</v>
      </c>
      <c r="C25" s="1" t="s">
        <v>15</v>
      </c>
      <c r="D25" s="1">
        <f>VLOOKUP(C25,Device!A:B,2,FALSE)</f>
        <v>0</v>
      </c>
      <c r="E25" s="1">
        <v>22</v>
      </c>
    </row>
    <row r="26" spans="1:5" ht="18.75" customHeight="1">
      <c r="A26" s="1" t="s">
        <v>185</v>
      </c>
      <c r="B26" s="1">
        <v>24</v>
      </c>
      <c r="C26" s="1" t="s">
        <v>15</v>
      </c>
      <c r="D26" s="1">
        <f>VLOOKUP(C26,Device!A:B,2,FALSE)</f>
        <v>0</v>
      </c>
      <c r="E26" s="1">
        <v>23</v>
      </c>
    </row>
    <row r="27" spans="1:5" ht="18.75" customHeight="1">
      <c r="A27" s="1" t="s">
        <v>186</v>
      </c>
      <c r="B27" s="1">
        <v>25</v>
      </c>
      <c r="C27" s="1" t="s">
        <v>15</v>
      </c>
      <c r="D27" s="1">
        <f>VLOOKUP(C27,Device!A:B,2,FALSE)</f>
        <v>0</v>
      </c>
      <c r="E27" s="1">
        <v>24</v>
      </c>
    </row>
    <row r="28" spans="1:5" ht="18.75" customHeight="1">
      <c r="A28" s="1" t="s">
        <v>187</v>
      </c>
      <c r="B28" s="1">
        <v>26</v>
      </c>
      <c r="C28" s="1" t="s">
        <v>15</v>
      </c>
      <c r="D28" s="1">
        <f>VLOOKUP(C28,Device!A:B,2,FALSE)</f>
        <v>0</v>
      </c>
      <c r="E28" s="1">
        <v>25</v>
      </c>
    </row>
    <row r="29" spans="1:5" ht="18.75" customHeight="1">
      <c r="A29" s="1" t="s">
        <v>188</v>
      </c>
      <c r="B29" s="1">
        <v>27</v>
      </c>
      <c r="C29" s="1" t="s">
        <v>15</v>
      </c>
      <c r="D29" s="1">
        <f>VLOOKUP(C29,Device!A:B,2,FALSE)</f>
        <v>0</v>
      </c>
      <c r="E29" s="1">
        <v>26</v>
      </c>
    </row>
    <row r="30" spans="1:5" ht="18.75" customHeight="1">
      <c r="A30" s="4" t="s">
        <v>61</v>
      </c>
      <c r="B30" s="1">
        <v>28</v>
      </c>
      <c r="C30" s="1" t="s">
        <v>161</v>
      </c>
      <c r="D30" s="1">
        <f>VLOOKUP(C30,Device!A:B,2,FALSE)</f>
        <v>1</v>
      </c>
      <c r="E30" s="5">
        <v>14</v>
      </c>
    </row>
    <row r="31" spans="1:5" ht="18.75" customHeight="1">
      <c r="A31" s="4" t="s">
        <v>62</v>
      </c>
      <c r="B31" s="1">
        <v>29</v>
      </c>
      <c r="C31" s="1" t="s">
        <v>161</v>
      </c>
      <c r="D31" s="1">
        <f>VLOOKUP(C31,Device!A:B,2,FALSE)</f>
        <v>1</v>
      </c>
      <c r="E31" s="5">
        <v>15</v>
      </c>
    </row>
    <row r="32" spans="1:5" ht="18.75" customHeight="1">
      <c r="A32" s="4" t="s">
        <v>63</v>
      </c>
      <c r="B32" s="1">
        <v>30</v>
      </c>
      <c r="C32" s="1" t="s">
        <v>161</v>
      </c>
      <c r="D32" s="1">
        <f>VLOOKUP(C32,Device!A:B,2,FALSE)</f>
        <v>1</v>
      </c>
      <c r="E32" s="5">
        <v>28</v>
      </c>
    </row>
    <row r="33" spans="1:5" ht="18.75" customHeight="1">
      <c r="A33" s="4" t="s">
        <v>64</v>
      </c>
      <c r="B33" s="1">
        <v>31</v>
      </c>
      <c r="C33" s="1" t="s">
        <v>161</v>
      </c>
      <c r="D33" s="1">
        <f>VLOOKUP(C33,Device!A:B,2,FALSE)</f>
        <v>1</v>
      </c>
      <c r="E33" s="5">
        <v>42</v>
      </c>
    </row>
    <row r="34" spans="1:5" ht="18.75" customHeight="1">
      <c r="A34" s="4" t="s">
        <v>65</v>
      </c>
      <c r="B34" s="1">
        <v>32</v>
      </c>
      <c r="C34" s="1" t="s">
        <v>161</v>
      </c>
      <c r="D34" s="1">
        <f>VLOOKUP(C34,Device!A:B,2,FALSE)</f>
        <v>1</v>
      </c>
      <c r="E34" s="5">
        <v>54</v>
      </c>
    </row>
    <row r="35" spans="1:5" ht="18.75" customHeight="1">
      <c r="A35" s="4" t="s">
        <v>66</v>
      </c>
      <c r="B35" s="1">
        <v>33</v>
      </c>
      <c r="C35" s="1" t="s">
        <v>161</v>
      </c>
      <c r="D35" s="1">
        <f>VLOOKUP(C35,Device!A:B,2,FALSE)</f>
        <v>1</v>
      </c>
      <c r="E35" s="5">
        <v>29</v>
      </c>
    </row>
    <row r="36" spans="1:5" ht="18.75" customHeight="1">
      <c r="A36" s="4" t="s">
        <v>67</v>
      </c>
      <c r="B36" s="1">
        <v>34</v>
      </c>
      <c r="C36" s="1" t="s">
        <v>161</v>
      </c>
      <c r="D36" s="1">
        <f>VLOOKUP(C36,Device!A:B,2,FALSE)</f>
        <v>1</v>
      </c>
      <c r="E36" s="5">
        <v>157</v>
      </c>
    </row>
    <row r="37" spans="1:5" ht="18.75" customHeight="1">
      <c r="A37" s="4" t="s">
        <v>68</v>
      </c>
      <c r="B37" s="1">
        <v>35</v>
      </c>
      <c r="C37" s="1" t="s">
        <v>161</v>
      </c>
      <c r="D37" s="1">
        <f>VLOOKUP(C37,Device!A:B,2,FALSE)</f>
        <v>1</v>
      </c>
      <c r="E37" s="5">
        <v>1</v>
      </c>
    </row>
    <row r="38" spans="1:5" ht="18.75" customHeight="1">
      <c r="A38" s="4" t="s">
        <v>69</v>
      </c>
      <c r="B38" s="1">
        <v>36</v>
      </c>
      <c r="C38" s="1" t="s">
        <v>161</v>
      </c>
      <c r="D38" s="1">
        <f>VLOOKUP(C38,Device!A:B,2,FALSE)</f>
        <v>1</v>
      </c>
      <c r="E38" s="5">
        <v>58</v>
      </c>
    </row>
    <row r="39" spans="1:5" ht="18.75" customHeight="1">
      <c r="A39" s="4" t="s">
        <v>70</v>
      </c>
      <c r="B39" s="1">
        <v>37</v>
      </c>
      <c r="C39" s="1" t="s">
        <v>161</v>
      </c>
      <c r="D39" s="1">
        <f>VLOOKUP(C39,Device!A:B,2,FALSE)</f>
        <v>1</v>
      </c>
      <c r="E39" s="5">
        <v>201</v>
      </c>
    </row>
    <row r="40" spans="1:5" ht="18.75" customHeight="1">
      <c r="A40" s="4" t="s">
        <v>71</v>
      </c>
      <c r="B40" s="1">
        <v>38</v>
      </c>
      <c r="C40" s="1" t="s">
        <v>161</v>
      </c>
      <c r="D40" s="1">
        <f>VLOOKUP(C40,Device!A:B,2,FALSE)</f>
        <v>1</v>
      </c>
      <c r="E40" s="5">
        <v>209</v>
      </c>
    </row>
    <row r="41" spans="1:5" ht="18.75" customHeight="1">
      <c r="A41" s="4" t="s">
        <v>72</v>
      </c>
      <c r="B41" s="1">
        <v>39</v>
      </c>
      <c r="C41" s="1" t="s">
        <v>161</v>
      </c>
      <c r="D41" s="1">
        <f>VLOOKUP(C41,Device!A:B,2,FALSE)</f>
        <v>1</v>
      </c>
      <c r="E41" s="5">
        <v>207</v>
      </c>
    </row>
    <row r="42" spans="1:5" ht="18.75" customHeight="1">
      <c r="A42" s="4" t="s">
        <v>73</v>
      </c>
      <c r="B42" s="1">
        <v>40</v>
      </c>
      <c r="C42" s="1" t="s">
        <v>161</v>
      </c>
      <c r="D42" s="1">
        <f>VLOOKUP(C42,Device!A:B,2,FALSE)</f>
        <v>1</v>
      </c>
      <c r="E42" s="5">
        <v>199</v>
      </c>
    </row>
    <row r="43" spans="1:5" ht="18.75" customHeight="1">
      <c r="A43" s="4" t="s">
        <v>74</v>
      </c>
      <c r="B43" s="1">
        <v>41</v>
      </c>
      <c r="C43" s="1" t="s">
        <v>161</v>
      </c>
      <c r="D43" s="1">
        <f>VLOOKUP(C43,Device!A:B,2,FALSE)</f>
        <v>1</v>
      </c>
      <c r="E43" s="5">
        <v>203</v>
      </c>
    </row>
    <row r="44" spans="1:5" ht="18.75" customHeight="1">
      <c r="A44" s="4" t="s">
        <v>75</v>
      </c>
      <c r="B44" s="1">
        <v>42</v>
      </c>
      <c r="C44" s="1" t="s">
        <v>161</v>
      </c>
      <c r="D44" s="1">
        <f>VLOOKUP(C44,Device!A:B,2,FALSE)</f>
        <v>1</v>
      </c>
      <c r="E44" s="5">
        <v>200</v>
      </c>
    </row>
    <row r="45" spans="1:5" ht="18.75" customHeight="1">
      <c r="A45" s="4" t="s">
        <v>76</v>
      </c>
      <c r="B45" s="1">
        <v>43</v>
      </c>
      <c r="C45" s="1" t="s">
        <v>161</v>
      </c>
      <c r="D45" s="1">
        <f>VLOOKUP(C45,Device!A:B,2,FALSE)</f>
        <v>1</v>
      </c>
      <c r="E45" s="5">
        <v>205</v>
      </c>
    </row>
    <row r="46" spans="1:5" ht="18.75" customHeight="1">
      <c r="A46" s="4" t="s">
        <v>77</v>
      </c>
      <c r="B46" s="1">
        <v>44</v>
      </c>
      <c r="C46" s="1" t="s">
        <v>161</v>
      </c>
      <c r="D46" s="1">
        <f>VLOOKUP(C46,Device!A:B,2,FALSE)</f>
        <v>1</v>
      </c>
      <c r="E46" s="5">
        <v>208</v>
      </c>
    </row>
    <row r="47" spans="1:5" ht="18.75" customHeight="1">
      <c r="A47" s="4" t="s">
        <v>78</v>
      </c>
      <c r="B47" s="1">
        <v>45</v>
      </c>
      <c r="C47" s="1" t="s">
        <v>161</v>
      </c>
      <c r="D47" s="1">
        <f>VLOOKUP(C47,Device!A:B,2,FALSE)</f>
        <v>1</v>
      </c>
      <c r="E47" s="5">
        <v>210</v>
      </c>
    </row>
    <row r="48" spans="1:5" ht="18.75" customHeight="1">
      <c r="A48" s="4" t="s">
        <v>79</v>
      </c>
      <c r="B48" s="1">
        <v>46</v>
      </c>
      <c r="C48" s="1" t="s">
        <v>161</v>
      </c>
      <c r="D48" s="1">
        <f>VLOOKUP(C48,Device!A:B,2,FALSE)</f>
        <v>1</v>
      </c>
      <c r="E48" s="5">
        <v>211</v>
      </c>
    </row>
    <row r="49" spans="1:5" ht="18.75" customHeight="1">
      <c r="A49" s="4" t="s">
        <v>80</v>
      </c>
      <c r="B49" s="1">
        <v>47</v>
      </c>
      <c r="C49" s="1" t="s">
        <v>161</v>
      </c>
      <c r="D49" s="1">
        <f>VLOOKUP(C49,Device!A:B,2,FALSE)</f>
        <v>1</v>
      </c>
      <c r="E49" s="5">
        <v>12</v>
      </c>
    </row>
    <row r="50" spans="1:5" ht="18.75" customHeight="1">
      <c r="A50" s="4" t="s">
        <v>81</v>
      </c>
      <c r="B50" s="1">
        <v>48</v>
      </c>
      <c r="C50" s="1" t="s">
        <v>161</v>
      </c>
      <c r="D50" s="1">
        <f>VLOOKUP(C50,Device!A:B,2,FALSE)</f>
        <v>1</v>
      </c>
      <c r="E50" s="5">
        <v>125</v>
      </c>
    </row>
    <row r="51" spans="1:5" ht="18.75" customHeight="1">
      <c r="A51" s="4" t="s">
        <v>82</v>
      </c>
      <c r="B51" s="1">
        <v>49</v>
      </c>
      <c r="C51" s="1" t="s">
        <v>161</v>
      </c>
      <c r="D51" s="1">
        <f>VLOOKUP(C51,Device!A:B,2,FALSE)</f>
        <v>1</v>
      </c>
      <c r="E51" s="5">
        <v>144</v>
      </c>
    </row>
    <row r="52" spans="1:5" ht="18.75" customHeight="1">
      <c r="A52" s="4" t="s">
        <v>83</v>
      </c>
      <c r="B52" s="1">
        <v>50</v>
      </c>
      <c r="C52" s="1" t="s">
        <v>161</v>
      </c>
      <c r="D52" s="1">
        <f>VLOOKUP(C52,Device!A:B,2,FALSE)</f>
        <v>1</v>
      </c>
      <c r="E52" s="5">
        <v>52</v>
      </c>
    </row>
    <row r="53" spans="1:5" ht="18.75" customHeight="1">
      <c r="A53" s="4" t="s">
        <v>84</v>
      </c>
      <c r="B53" s="1">
        <v>51</v>
      </c>
      <c r="C53" s="1" t="s">
        <v>161</v>
      </c>
      <c r="D53" s="1">
        <f>VLOOKUP(C53,Device!A:B,2,FALSE)</f>
        <v>1</v>
      </c>
      <c r="E53" s="5">
        <v>53</v>
      </c>
    </row>
    <row r="54" spans="1:5" ht="18.75" customHeight="1">
      <c r="A54" s="4" t="s">
        <v>85</v>
      </c>
      <c r="B54" s="1">
        <v>52</v>
      </c>
      <c r="C54" s="1" t="s">
        <v>161</v>
      </c>
      <c r="D54" s="1">
        <f>VLOOKUP(C54,Device!A:B,2,FALSE)</f>
        <v>1</v>
      </c>
      <c r="E54" s="5">
        <v>56</v>
      </c>
    </row>
    <row r="55" spans="1:5" ht="18.75" customHeight="1">
      <c r="A55" s="4" t="s">
        <v>86</v>
      </c>
      <c r="B55" s="1">
        <v>53</v>
      </c>
      <c r="C55" s="1" t="s">
        <v>161</v>
      </c>
      <c r="D55" s="1">
        <f>VLOOKUP(C55,Device!A:B,2,FALSE)</f>
        <v>1</v>
      </c>
      <c r="E55" s="5">
        <v>184</v>
      </c>
    </row>
    <row r="56" spans="1:5" ht="18.75" customHeight="1">
      <c r="A56" s="4" t="s">
        <v>87</v>
      </c>
      <c r="B56" s="1">
        <v>54</v>
      </c>
      <c r="C56" s="1" t="s">
        <v>161</v>
      </c>
      <c r="D56" s="1">
        <f>VLOOKUP(C56,Device!A:B,2,FALSE)</f>
        <v>1</v>
      </c>
      <c r="E56" s="5">
        <v>70</v>
      </c>
    </row>
    <row r="57" spans="1:5" ht="18.75" customHeight="1">
      <c r="A57" s="4" t="s">
        <v>88</v>
      </c>
      <c r="B57" s="1">
        <v>55</v>
      </c>
      <c r="C57" s="1" t="s">
        <v>161</v>
      </c>
      <c r="D57" s="1">
        <f>VLOOKUP(C57,Device!A:B,2,FALSE)</f>
        <v>1</v>
      </c>
      <c r="E57" s="5">
        <v>39</v>
      </c>
    </row>
    <row r="58" spans="1:5" ht="18.75" customHeight="1">
      <c r="A58" s="4" t="s">
        <v>89</v>
      </c>
      <c r="B58" s="1">
        <v>56</v>
      </c>
      <c r="C58" s="1" t="s">
        <v>161</v>
      </c>
      <c r="D58" s="1">
        <f>VLOOKUP(C58,Device!A:B,2,FALSE)</f>
        <v>1</v>
      </c>
      <c r="E58" s="5">
        <v>146</v>
      </c>
    </row>
    <row r="59" spans="1:5" ht="18.75" customHeight="1">
      <c r="A59" s="4" t="s">
        <v>90</v>
      </c>
      <c r="B59" s="1">
        <v>57</v>
      </c>
      <c r="C59" s="1" t="s">
        <v>161</v>
      </c>
      <c r="D59" s="1">
        <f>VLOOKUP(C59,Device!A:B,2,FALSE)</f>
        <v>1</v>
      </c>
      <c r="E59" s="5">
        <v>26</v>
      </c>
    </row>
    <row r="60" spans="1:5" ht="18.75" customHeight="1">
      <c r="A60" s="4" t="s">
        <v>91</v>
      </c>
      <c r="B60" s="1">
        <v>58</v>
      </c>
      <c r="C60" s="1" t="s">
        <v>161</v>
      </c>
      <c r="D60" s="1">
        <f>VLOOKUP(C60,Device!A:B,2,FALSE)</f>
        <v>1</v>
      </c>
      <c r="E60" s="5">
        <v>27</v>
      </c>
    </row>
    <row r="61" spans="1:5" ht="18.75" customHeight="1">
      <c r="A61" s="4" t="s">
        <v>92</v>
      </c>
      <c r="B61" s="1">
        <v>59</v>
      </c>
      <c r="C61" s="1" t="s">
        <v>161</v>
      </c>
      <c r="D61" s="1">
        <f>VLOOKUP(C61,Device!A:B,2,FALSE)</f>
        <v>1</v>
      </c>
      <c r="E61" s="5">
        <v>145</v>
      </c>
    </row>
    <row r="62" spans="1:5" ht="18.75" customHeight="1">
      <c r="A62" s="4" t="s">
        <v>93</v>
      </c>
      <c r="B62" s="1">
        <v>60</v>
      </c>
      <c r="C62" s="1" t="s">
        <v>161</v>
      </c>
      <c r="D62" s="1">
        <f>VLOOKUP(C62,Device!A:B,2,FALSE)</f>
        <v>1</v>
      </c>
      <c r="E62" s="5">
        <v>43</v>
      </c>
    </row>
    <row r="63" spans="1:5" ht="18.75" customHeight="1">
      <c r="A63" s="4" t="s">
        <v>94</v>
      </c>
      <c r="B63" s="1">
        <v>61</v>
      </c>
      <c r="C63" s="1" t="s">
        <v>161</v>
      </c>
      <c r="D63" s="1">
        <f>VLOOKUP(C63,Device!A:B,2,FALSE)</f>
        <v>1</v>
      </c>
      <c r="E63" s="5">
        <v>51</v>
      </c>
    </row>
    <row r="64" spans="1:5" ht="18.75" customHeight="1">
      <c r="A64" s="4" t="s">
        <v>95</v>
      </c>
      <c r="B64" s="1">
        <v>62</v>
      </c>
      <c r="C64" s="1" t="s">
        <v>161</v>
      </c>
      <c r="D64" s="1">
        <f>VLOOKUP(C64,Device!A:B,2,FALSE)</f>
        <v>1</v>
      </c>
      <c r="E64" s="5">
        <v>58</v>
      </c>
    </row>
    <row r="65" spans="1:5" ht="18.75" customHeight="1">
      <c r="A65" s="4" t="s">
        <v>96</v>
      </c>
      <c r="B65" s="1">
        <v>63</v>
      </c>
      <c r="C65" s="1" t="s">
        <v>161</v>
      </c>
      <c r="D65" s="1">
        <f>VLOOKUP(C65,Device!A:B,2,FALSE)</f>
        <v>1</v>
      </c>
      <c r="E65" s="5">
        <v>197</v>
      </c>
    </row>
    <row r="66" spans="1:5" ht="18.75" customHeight="1">
      <c r="A66" s="4" t="s">
        <v>97</v>
      </c>
      <c r="B66" s="1">
        <v>64</v>
      </c>
      <c r="C66" s="1" t="s">
        <v>161</v>
      </c>
      <c r="D66" s="1">
        <f>VLOOKUP(C66,Device!A:B,2,FALSE)</f>
        <v>1</v>
      </c>
      <c r="E66" s="5">
        <v>82</v>
      </c>
    </row>
    <row r="67" spans="1:5" ht="18.75" customHeight="1">
      <c r="A67" s="4" t="s">
        <v>98</v>
      </c>
      <c r="B67" s="1">
        <v>65</v>
      </c>
      <c r="C67" s="1" t="s">
        <v>161</v>
      </c>
      <c r="D67" s="1">
        <f>VLOOKUP(C67,Device!A:B,2,FALSE)</f>
        <v>1</v>
      </c>
      <c r="E67" s="5">
        <v>79</v>
      </c>
    </row>
    <row r="68" spans="1:5" ht="18.75" customHeight="1">
      <c r="A68" s="4" t="s">
        <v>99</v>
      </c>
      <c r="B68" s="1">
        <v>66</v>
      </c>
      <c r="C68" s="1" t="s">
        <v>161</v>
      </c>
      <c r="D68" s="1">
        <f>VLOOKUP(C68,Device!A:B,2,FALSE)</f>
        <v>1</v>
      </c>
      <c r="E68" s="5">
        <v>80</v>
      </c>
    </row>
    <row r="69" spans="1:5" ht="18.75" customHeight="1">
      <c r="A69" s="4" t="s">
        <v>100</v>
      </c>
      <c r="B69" s="1">
        <v>67</v>
      </c>
      <c r="C69" s="1" t="s">
        <v>161</v>
      </c>
      <c r="D69" s="1">
        <f>VLOOKUP(C69,Device!A:B,2,FALSE)</f>
        <v>1</v>
      </c>
      <c r="E69" s="5">
        <v>81</v>
      </c>
    </row>
    <row r="70" spans="1:5" ht="18.75" customHeight="1">
      <c r="A70" s="4" t="s">
        <v>101</v>
      </c>
      <c r="B70" s="1">
        <v>68</v>
      </c>
      <c r="C70" s="1" t="s">
        <v>161</v>
      </c>
      <c r="D70" s="1">
        <f>VLOOKUP(C70,Device!A:B,2,FALSE)</f>
        <v>1</v>
      </c>
      <c r="E70" s="5">
        <v>75</v>
      </c>
    </row>
    <row r="71" spans="1:5" ht="18.75" customHeight="1">
      <c r="A71" s="4" t="s">
        <v>102</v>
      </c>
      <c r="B71" s="1">
        <v>69</v>
      </c>
      <c r="C71" s="1" t="s">
        <v>161</v>
      </c>
      <c r="D71" s="1">
        <f>VLOOKUP(C71,Device!A:B,2,FALSE)</f>
        <v>1</v>
      </c>
      <c r="E71" s="5">
        <v>76</v>
      </c>
    </row>
    <row r="72" spans="1:5" ht="18.75" customHeight="1">
      <c r="A72" s="4" t="s">
        <v>103</v>
      </c>
      <c r="B72" s="1">
        <v>70</v>
      </c>
      <c r="C72" s="1" t="s">
        <v>161</v>
      </c>
      <c r="D72" s="1">
        <f>VLOOKUP(C72,Device!A:B,2,FALSE)</f>
        <v>1</v>
      </c>
      <c r="E72" s="5">
        <v>77</v>
      </c>
    </row>
    <row r="73" spans="1:5" ht="18.75" customHeight="1">
      <c r="A73" s="4" t="s">
        <v>104</v>
      </c>
      <c r="B73" s="1">
        <v>71</v>
      </c>
      <c r="C73" s="1" t="s">
        <v>161</v>
      </c>
      <c r="D73" s="1">
        <f>VLOOKUP(C73,Device!A:B,2,FALSE)</f>
        <v>1</v>
      </c>
      <c r="E73" s="5">
        <v>71</v>
      </c>
    </row>
    <row r="74" spans="1:5" ht="18.75" customHeight="1">
      <c r="A74" s="4" t="s">
        <v>105</v>
      </c>
      <c r="B74" s="1">
        <v>72</v>
      </c>
      <c r="C74" s="1" t="s">
        <v>161</v>
      </c>
      <c r="D74" s="1">
        <f>VLOOKUP(C74,Device!A:B,2,FALSE)</f>
        <v>1</v>
      </c>
      <c r="E74" s="5">
        <v>72</v>
      </c>
    </row>
    <row r="75" spans="1:5" ht="18.75" customHeight="1">
      <c r="A75" s="4" t="s">
        <v>106</v>
      </c>
      <c r="B75" s="1">
        <v>73</v>
      </c>
      <c r="C75" s="1" t="s">
        <v>161</v>
      </c>
      <c r="D75" s="1">
        <f>VLOOKUP(C75,Device!A:B,2,FALSE)</f>
        <v>1</v>
      </c>
      <c r="E75" s="5">
        <v>73</v>
      </c>
    </row>
    <row r="76" spans="1:5" ht="18.75" customHeight="1">
      <c r="A76" s="4" t="s">
        <v>107</v>
      </c>
      <c r="B76" s="1">
        <v>74</v>
      </c>
      <c r="C76" s="1" t="s">
        <v>161</v>
      </c>
      <c r="D76" s="1">
        <f>VLOOKUP(C76,Device!A:B,2,FALSE)</f>
        <v>1</v>
      </c>
      <c r="E76" s="5">
        <v>55</v>
      </c>
    </row>
    <row r="77" spans="1:5" ht="18.75" customHeight="1">
      <c r="A77" s="4" t="s">
        <v>108</v>
      </c>
      <c r="B77" s="1">
        <v>75</v>
      </c>
      <c r="C77" s="1" t="s">
        <v>161</v>
      </c>
      <c r="D77" s="1">
        <f>VLOOKUP(C77,Device!A:B,2,FALSE)</f>
        <v>1</v>
      </c>
      <c r="E77" s="5">
        <v>78</v>
      </c>
    </row>
    <row r="78" spans="1:5" ht="18.75" customHeight="1">
      <c r="A78" s="4" t="s">
        <v>109</v>
      </c>
      <c r="B78" s="1">
        <v>76</v>
      </c>
      <c r="C78" s="1" t="s">
        <v>161</v>
      </c>
      <c r="D78" s="1">
        <f>VLOOKUP(C78,Device!A:B,2,FALSE)</f>
        <v>1</v>
      </c>
      <c r="E78" s="5">
        <v>74</v>
      </c>
    </row>
    <row r="79" spans="1:5" ht="18.75" customHeight="1">
      <c r="A79" s="4" t="s">
        <v>110</v>
      </c>
      <c r="B79" s="1">
        <v>77</v>
      </c>
      <c r="C79" s="1" t="s">
        <v>161</v>
      </c>
      <c r="D79" s="1">
        <f>VLOOKUP(C79,Device!A:B,2,FALSE)</f>
        <v>1</v>
      </c>
      <c r="E79" s="5">
        <v>83</v>
      </c>
    </row>
    <row r="80" spans="1:5" ht="18.75" customHeight="1">
      <c r="A80" s="4" t="s">
        <v>111</v>
      </c>
      <c r="B80" s="1">
        <v>78</v>
      </c>
      <c r="C80" s="1" t="s">
        <v>161</v>
      </c>
      <c r="D80" s="1">
        <f>VLOOKUP(C80,Device!A:B,2,FALSE)</f>
        <v>1</v>
      </c>
      <c r="E80" s="5">
        <v>181</v>
      </c>
    </row>
    <row r="81" spans="1:5" ht="18.75" customHeight="1">
      <c r="A81" s="4" t="s">
        <v>112</v>
      </c>
      <c r="B81" s="1">
        <v>79</v>
      </c>
      <c r="C81" s="1" t="s">
        <v>161</v>
      </c>
      <c r="D81" s="1">
        <f>VLOOKUP(C81,Device!A:B,2,FALSE)</f>
        <v>1</v>
      </c>
      <c r="E81" s="5">
        <v>156</v>
      </c>
    </row>
    <row r="82" spans="1:5" ht="18.75" customHeight="1">
      <c r="A82" s="4" t="s">
        <v>113</v>
      </c>
      <c r="B82" s="1">
        <v>80</v>
      </c>
      <c r="C82" s="1" t="s">
        <v>161</v>
      </c>
      <c r="D82" s="1">
        <f>VLOOKUP(C82,Device!A:B,2,FALSE)</f>
        <v>1</v>
      </c>
      <c r="E82" s="5">
        <v>59</v>
      </c>
    </row>
    <row r="83" spans="1:5" ht="18.75" customHeight="1">
      <c r="A83" s="4" t="s">
        <v>114</v>
      </c>
      <c r="B83" s="1">
        <v>81</v>
      </c>
      <c r="C83" s="1" t="s">
        <v>161</v>
      </c>
      <c r="D83" s="1">
        <f>VLOOKUP(C83,Device!A:B,2,FALSE)</f>
        <v>1</v>
      </c>
      <c r="E83" s="5">
        <v>60</v>
      </c>
    </row>
    <row r="84" spans="1:5" ht="18.75" customHeight="1">
      <c r="A84" s="4" t="s">
        <v>115</v>
      </c>
      <c r="B84" s="1">
        <v>82</v>
      </c>
      <c r="C84" s="1" t="s">
        <v>161</v>
      </c>
      <c r="D84" s="1">
        <f>VLOOKUP(C84,Device!A:B,2,FALSE)</f>
        <v>1</v>
      </c>
      <c r="E84" s="5">
        <v>61</v>
      </c>
    </row>
    <row r="85" spans="1:5" ht="18.75" customHeight="1">
      <c r="A85" s="4" t="s">
        <v>116</v>
      </c>
      <c r="B85" s="1">
        <v>83</v>
      </c>
      <c r="C85" s="1" t="s">
        <v>161</v>
      </c>
      <c r="D85" s="1">
        <f>VLOOKUP(C85,Device!A:B,2,FALSE)</f>
        <v>1</v>
      </c>
      <c r="E85" s="5">
        <v>62</v>
      </c>
    </row>
    <row r="86" spans="1:5" ht="18.75" customHeight="1">
      <c r="A86" s="4" t="s">
        <v>117</v>
      </c>
      <c r="B86" s="1">
        <v>84</v>
      </c>
      <c r="C86" s="1" t="s">
        <v>161</v>
      </c>
      <c r="D86" s="1">
        <f>VLOOKUP(C86,Device!A:B,2,FALSE)</f>
        <v>1</v>
      </c>
      <c r="E86" s="5">
        <v>63</v>
      </c>
    </row>
    <row r="87" spans="1:5" ht="18.75" customHeight="1">
      <c r="A87" s="4" t="s">
        <v>118</v>
      </c>
      <c r="B87" s="1">
        <v>85</v>
      </c>
      <c r="C87" s="1" t="s">
        <v>161</v>
      </c>
      <c r="D87" s="1">
        <f>VLOOKUP(C87,Device!A:B,2,FALSE)</f>
        <v>1</v>
      </c>
      <c r="E87" s="5">
        <v>64</v>
      </c>
    </row>
    <row r="88" spans="1:5" ht="18.75" customHeight="1">
      <c r="A88" s="4" t="s">
        <v>119</v>
      </c>
      <c r="B88" s="1">
        <v>86</v>
      </c>
      <c r="C88" s="1" t="s">
        <v>161</v>
      </c>
      <c r="D88" s="1">
        <f>VLOOKUP(C88,Device!A:B,2,FALSE)</f>
        <v>1</v>
      </c>
      <c r="E88" s="5">
        <v>65</v>
      </c>
    </row>
    <row r="89" spans="1:5" ht="18.75" customHeight="1">
      <c r="A89" s="4" t="s">
        <v>120</v>
      </c>
      <c r="B89" s="1">
        <v>87</v>
      </c>
      <c r="C89" s="1" t="s">
        <v>161</v>
      </c>
      <c r="D89" s="1">
        <f>VLOOKUP(C89,Device!A:B,2,FALSE)</f>
        <v>1</v>
      </c>
      <c r="E89" s="5">
        <v>66</v>
      </c>
    </row>
    <row r="90" spans="1:5" ht="18.75" customHeight="1">
      <c r="A90" s="4" t="s">
        <v>121</v>
      </c>
      <c r="B90" s="1">
        <v>88</v>
      </c>
      <c r="C90" s="1" t="s">
        <v>161</v>
      </c>
      <c r="D90" s="1">
        <f>VLOOKUP(C90,Device!A:B,2,FALSE)</f>
        <v>1</v>
      </c>
      <c r="E90" s="5">
        <v>67</v>
      </c>
    </row>
    <row r="91" spans="1:5" ht="18.75" customHeight="1">
      <c r="A91" s="4" t="s">
        <v>122</v>
      </c>
      <c r="B91" s="1">
        <v>89</v>
      </c>
      <c r="C91" s="1" t="s">
        <v>161</v>
      </c>
      <c r="D91" s="1">
        <f>VLOOKUP(C91,Device!A:B,2,FALSE)</f>
        <v>1</v>
      </c>
      <c r="E91" s="5">
        <v>68</v>
      </c>
    </row>
    <row r="92" spans="1:5" ht="18.75" customHeight="1">
      <c r="A92" s="4" t="s">
        <v>123</v>
      </c>
      <c r="B92" s="1">
        <v>90</v>
      </c>
      <c r="C92" s="1" t="s">
        <v>161</v>
      </c>
      <c r="D92" s="1">
        <f>VLOOKUP(C92,Device!A:B,2,FALSE)</f>
        <v>1</v>
      </c>
      <c r="E92" s="5">
        <v>87</v>
      </c>
    </row>
    <row r="93" spans="1:5" ht="18.75" customHeight="1">
      <c r="A93" s="4" t="s">
        <v>124</v>
      </c>
      <c r="B93" s="1">
        <v>91</v>
      </c>
      <c r="C93" s="1" t="s">
        <v>161</v>
      </c>
      <c r="D93" s="1">
        <f>VLOOKUP(C93,Device!A:B,2,FALSE)</f>
        <v>1</v>
      </c>
      <c r="E93" s="5">
        <v>88</v>
      </c>
    </row>
    <row r="94" spans="1:5" ht="18.75" customHeight="1">
      <c r="A94" s="4" t="s">
        <v>125</v>
      </c>
      <c r="B94" s="1">
        <v>92</v>
      </c>
      <c r="C94" s="1" t="s">
        <v>161</v>
      </c>
      <c r="D94" s="1">
        <f>VLOOKUP(C94,Device!A:B,2,FALSE)</f>
        <v>1</v>
      </c>
      <c r="E94" s="5">
        <v>30</v>
      </c>
    </row>
    <row r="95" spans="1:5" ht="18.75" customHeight="1">
      <c r="A95" s="4" t="s">
        <v>126</v>
      </c>
      <c r="B95" s="1">
        <v>93</v>
      </c>
      <c r="C95" s="1" t="s">
        <v>161</v>
      </c>
      <c r="D95" s="1">
        <f>VLOOKUP(C95,Device!A:B,2,FALSE)</f>
        <v>1</v>
      </c>
      <c r="E95" s="5">
        <v>48</v>
      </c>
    </row>
    <row r="96" spans="1:5" ht="18.75" customHeight="1">
      <c r="A96" s="4" t="s">
        <v>127</v>
      </c>
      <c r="B96" s="1">
        <v>94</v>
      </c>
      <c r="C96" s="1" t="s">
        <v>161</v>
      </c>
      <c r="D96" s="1">
        <f>VLOOKUP(C96,Device!A:B,2,FALSE)</f>
        <v>1</v>
      </c>
      <c r="E96" s="5">
        <v>46</v>
      </c>
    </row>
    <row r="97" spans="1:5" ht="18.75" customHeight="1">
      <c r="A97" s="4" t="s">
        <v>128</v>
      </c>
      <c r="B97" s="1">
        <v>95</v>
      </c>
      <c r="C97" s="1" t="s">
        <v>161</v>
      </c>
      <c r="D97" s="1">
        <f>VLOOKUP(C97,Device!A:B,2,FALSE)</f>
        <v>1</v>
      </c>
      <c r="E97" s="5">
        <v>32</v>
      </c>
    </row>
    <row r="98" spans="1:5" ht="18.75" customHeight="1">
      <c r="A98" s="4" t="s">
        <v>129</v>
      </c>
      <c r="B98" s="1">
        <v>96</v>
      </c>
      <c r="C98" s="1" t="s">
        <v>161</v>
      </c>
      <c r="D98" s="1">
        <f>VLOOKUP(C98,Device!A:B,2,FALSE)</f>
        <v>1</v>
      </c>
      <c r="E98" s="5">
        <v>18</v>
      </c>
    </row>
    <row r="99" spans="1:5" ht="18.75" customHeight="1">
      <c r="A99" s="4" t="s">
        <v>130</v>
      </c>
      <c r="B99" s="1">
        <v>97</v>
      </c>
      <c r="C99" s="1" t="s">
        <v>161</v>
      </c>
      <c r="D99" s="1">
        <f>VLOOKUP(C99,Device!A:B,2,FALSE)</f>
        <v>1</v>
      </c>
      <c r="E99" s="5">
        <v>33</v>
      </c>
    </row>
    <row r="100" spans="1:5" ht="18.75" customHeight="1">
      <c r="A100" s="4" t="s">
        <v>131</v>
      </c>
      <c r="B100" s="1">
        <v>98</v>
      </c>
      <c r="C100" s="1" t="s">
        <v>161</v>
      </c>
      <c r="D100" s="1">
        <f>VLOOKUP(C100,Device!A:B,2,FALSE)</f>
        <v>1</v>
      </c>
      <c r="E100" s="5">
        <v>34</v>
      </c>
    </row>
    <row r="101" spans="1:5" ht="18.75" customHeight="1">
      <c r="A101" s="4" t="s">
        <v>132</v>
      </c>
      <c r="B101" s="1">
        <v>99</v>
      </c>
      <c r="C101" s="1" t="s">
        <v>161</v>
      </c>
      <c r="D101" s="1">
        <f>VLOOKUP(C101,Device!A:B,2,FALSE)</f>
        <v>1</v>
      </c>
      <c r="E101" s="5">
        <v>35</v>
      </c>
    </row>
    <row r="102" spans="1:5" ht="18.75" customHeight="1">
      <c r="A102" s="4" t="s">
        <v>133</v>
      </c>
      <c r="B102" s="1">
        <v>100</v>
      </c>
      <c r="C102" s="1" t="s">
        <v>161</v>
      </c>
      <c r="D102" s="1">
        <f>VLOOKUP(C102,Device!A:B,2,FALSE)</f>
        <v>1</v>
      </c>
      <c r="E102" s="5">
        <v>23</v>
      </c>
    </row>
    <row r="103" spans="1:5" ht="18.75" customHeight="1">
      <c r="A103" s="4" t="s">
        <v>134</v>
      </c>
      <c r="B103" s="1">
        <v>101</v>
      </c>
      <c r="C103" s="1" t="s">
        <v>161</v>
      </c>
      <c r="D103" s="1">
        <f>VLOOKUP(C103,Device!A:B,2,FALSE)</f>
        <v>1</v>
      </c>
      <c r="E103" s="5">
        <v>56</v>
      </c>
    </row>
    <row r="104" spans="1:5" ht="18.75" customHeight="1">
      <c r="A104" s="4" t="s">
        <v>135</v>
      </c>
      <c r="B104" s="1">
        <v>102</v>
      </c>
      <c r="C104" s="1" t="s">
        <v>161</v>
      </c>
      <c r="D104" s="1">
        <f>VLOOKUP(C104,Device!A:B,2,FALSE)</f>
        <v>1</v>
      </c>
      <c r="E104" s="5">
        <v>57</v>
      </c>
    </row>
    <row r="105" spans="1:5" ht="18.75" customHeight="1">
      <c r="A105" s="4" t="s">
        <v>136</v>
      </c>
      <c r="B105" s="1">
        <v>103</v>
      </c>
      <c r="C105" s="1" t="s">
        <v>161</v>
      </c>
      <c r="D105" s="1">
        <f>VLOOKUP(C105,Device!A:B,2,FALSE)</f>
        <v>1</v>
      </c>
      <c r="E105" s="5">
        <v>58</v>
      </c>
    </row>
    <row r="106" spans="1:5" ht="18.75" customHeight="1">
      <c r="A106" s="4" t="s">
        <v>137</v>
      </c>
      <c r="B106" s="1">
        <v>104</v>
      </c>
      <c r="C106" s="1" t="s">
        <v>161</v>
      </c>
      <c r="D106" s="1">
        <f>VLOOKUP(C106,Device!A:B,2,FALSE)</f>
        <v>1</v>
      </c>
      <c r="E106" s="5">
        <v>50</v>
      </c>
    </row>
    <row r="107" spans="1:5" ht="18.75" customHeight="1">
      <c r="A107" s="4" t="s">
        <v>138</v>
      </c>
      <c r="B107" s="1">
        <v>105</v>
      </c>
      <c r="C107" s="1" t="s">
        <v>161</v>
      </c>
      <c r="D107" s="1">
        <f>VLOOKUP(C107,Device!A:B,2,FALSE)</f>
        <v>1</v>
      </c>
      <c r="E107" s="5">
        <v>49</v>
      </c>
    </row>
    <row r="108" spans="1:5" ht="18.75" customHeight="1">
      <c r="A108" s="4" t="s">
        <v>139</v>
      </c>
      <c r="B108" s="1">
        <v>106</v>
      </c>
      <c r="C108" s="1" t="s">
        <v>161</v>
      </c>
      <c r="D108" s="1">
        <f>VLOOKUP(C108,Device!A:B,2,FALSE)</f>
        <v>1</v>
      </c>
      <c r="E108" s="5">
        <v>24</v>
      </c>
    </row>
    <row r="109" spans="1:5" ht="18.75" customHeight="1">
      <c r="A109" s="4" t="s">
        <v>140</v>
      </c>
      <c r="B109" s="1">
        <v>107</v>
      </c>
      <c r="C109" s="1" t="s">
        <v>161</v>
      </c>
      <c r="D109" s="1">
        <f>VLOOKUP(C109,Device!A:B,2,FALSE)</f>
        <v>1</v>
      </c>
      <c r="E109" s="5">
        <v>25</v>
      </c>
    </row>
    <row r="110" spans="1:5" ht="18.75" customHeight="1">
      <c r="A110" s="4" t="s">
        <v>141</v>
      </c>
      <c r="B110" s="1">
        <v>108</v>
      </c>
      <c r="C110" s="1" t="s">
        <v>161</v>
      </c>
      <c r="D110" s="1">
        <f>VLOOKUP(C110,Device!A:B,2,FALSE)</f>
        <v>1</v>
      </c>
      <c r="E110" s="5">
        <v>16</v>
      </c>
    </row>
    <row r="111" spans="1:5" ht="18.75" customHeight="1">
      <c r="A111" s="4" t="s">
        <v>142</v>
      </c>
      <c r="B111" s="1">
        <v>109</v>
      </c>
      <c r="C111" s="1" t="s">
        <v>161</v>
      </c>
      <c r="D111" s="1">
        <f>VLOOKUP(C111,Device!A:B,2,FALSE)</f>
        <v>1</v>
      </c>
      <c r="E111" s="5">
        <v>19</v>
      </c>
    </row>
    <row r="112" spans="1:5" ht="18.75" customHeight="1">
      <c r="A112" s="4" t="s">
        <v>143</v>
      </c>
      <c r="B112" s="1">
        <v>110</v>
      </c>
      <c r="C112" s="1" t="s">
        <v>161</v>
      </c>
      <c r="D112" s="1">
        <f>VLOOKUP(C112,Device!A:B,2,FALSE)</f>
        <v>1</v>
      </c>
      <c r="E112" s="5">
        <v>31</v>
      </c>
    </row>
    <row r="113" spans="1:5" ht="18.75" customHeight="1">
      <c r="A113" s="4" t="s">
        <v>144</v>
      </c>
      <c r="B113" s="1">
        <v>111</v>
      </c>
      <c r="C113" s="1" t="s">
        <v>161</v>
      </c>
      <c r="D113" s="1">
        <f>VLOOKUP(C113,Device!A:B,2,FALSE)</f>
        <v>1</v>
      </c>
      <c r="E113" s="5">
        <v>2</v>
      </c>
    </row>
    <row r="114" spans="1:5" ht="18.75" customHeight="1">
      <c r="A114" s="4" t="s">
        <v>145</v>
      </c>
      <c r="B114" s="1">
        <v>112</v>
      </c>
      <c r="C114" s="1" t="s">
        <v>161</v>
      </c>
      <c r="D114" s="1">
        <f>VLOOKUP(C114,Device!A:B,2,FALSE)</f>
        <v>1</v>
      </c>
      <c r="E114" s="5">
        <v>22</v>
      </c>
    </row>
    <row r="115" spans="1:5" ht="18.75" customHeight="1">
      <c r="A115" s="4" t="s">
        <v>146</v>
      </c>
      <c r="B115" s="1">
        <v>113</v>
      </c>
      <c r="C115" s="1" t="s">
        <v>161</v>
      </c>
      <c r="D115" s="1">
        <f>VLOOKUP(C115,Device!A:B,2,FALSE)</f>
        <v>1</v>
      </c>
      <c r="E115" s="5">
        <v>47</v>
      </c>
    </row>
    <row r="116" spans="1:5" ht="18.75" customHeight="1">
      <c r="A116" s="4" t="s">
        <v>147</v>
      </c>
      <c r="B116" s="1">
        <v>114</v>
      </c>
      <c r="C116" s="1" t="s">
        <v>161</v>
      </c>
      <c r="D116" s="1">
        <f>VLOOKUP(C116,Device!A:B,2,FALSE)</f>
        <v>1</v>
      </c>
      <c r="E116" s="5">
        <v>17</v>
      </c>
    </row>
    <row r="117" spans="1:5" ht="18.75" customHeight="1">
      <c r="A117" s="4" t="s">
        <v>148</v>
      </c>
      <c r="B117" s="1">
        <v>115</v>
      </c>
      <c r="C117" s="1" t="s">
        <v>161</v>
      </c>
      <c r="D117" s="1">
        <f>VLOOKUP(C117,Device!A:B,2,FALSE)</f>
        <v>1</v>
      </c>
      <c r="E117" s="5">
        <v>45</v>
      </c>
    </row>
    <row r="118" spans="1:5" ht="18.75" customHeight="1">
      <c r="A118" s="4" t="s">
        <v>149</v>
      </c>
      <c r="B118" s="1">
        <v>116</v>
      </c>
      <c r="C118" s="1" t="s">
        <v>161</v>
      </c>
      <c r="D118" s="1">
        <f>VLOOKUP(C118,Device!A:B,2,FALSE)</f>
        <v>1</v>
      </c>
      <c r="E118" s="5">
        <v>21</v>
      </c>
    </row>
    <row r="119" spans="1:5" ht="18.75" customHeight="1">
      <c r="A119" s="4" t="s">
        <v>150</v>
      </c>
      <c r="B119" s="1">
        <v>117</v>
      </c>
      <c r="C119" s="1" t="s">
        <v>161</v>
      </c>
      <c r="D119" s="1">
        <f>VLOOKUP(C119,Device!A:B,2,FALSE)</f>
        <v>1</v>
      </c>
      <c r="E119" s="5">
        <v>44</v>
      </c>
    </row>
    <row r="120" spans="1:5" ht="18.75" customHeight="1">
      <c r="A120" s="4" t="s">
        <v>151</v>
      </c>
      <c r="B120" s="1">
        <v>118</v>
      </c>
      <c r="C120" s="1" t="s">
        <v>161</v>
      </c>
      <c r="D120" s="1">
        <f>VLOOKUP(C120,Device!A:B,2,FALSE)</f>
        <v>1</v>
      </c>
      <c r="E120" s="5">
        <v>11</v>
      </c>
    </row>
    <row r="121" spans="1:5" ht="18.75" customHeight="1">
      <c r="A121" s="4" t="s">
        <v>152</v>
      </c>
      <c r="B121" s="1">
        <v>119</v>
      </c>
      <c r="C121" s="1" t="s">
        <v>161</v>
      </c>
      <c r="D121" s="1">
        <f>VLOOKUP(C121,Device!A:B,2,FALSE)</f>
        <v>1</v>
      </c>
      <c r="E121" s="5">
        <v>2</v>
      </c>
    </row>
    <row r="122" spans="1:5" ht="18.75" customHeight="1">
      <c r="A122" s="4" t="s">
        <v>153</v>
      </c>
      <c r="B122" s="1">
        <v>120</v>
      </c>
      <c r="C122" s="1" t="s">
        <v>161</v>
      </c>
      <c r="D122" s="1">
        <f>VLOOKUP(C122,Device!A:B,2,FALSE)</f>
        <v>1</v>
      </c>
      <c r="E122" s="5">
        <v>3</v>
      </c>
    </row>
    <row r="123" spans="1:5" ht="18.75" customHeight="1">
      <c r="A123" s="4" t="s">
        <v>154</v>
      </c>
      <c r="B123" s="1">
        <v>121</v>
      </c>
      <c r="C123" s="1" t="s">
        <v>161</v>
      </c>
      <c r="D123" s="1">
        <f>VLOOKUP(C123,Device!A:B,2,FALSE)</f>
        <v>1</v>
      </c>
      <c r="E123" s="5">
        <v>4</v>
      </c>
    </row>
    <row r="124" spans="1:5" ht="18.75" customHeight="1">
      <c r="A124" s="4" t="s">
        <v>155</v>
      </c>
      <c r="B124" s="1">
        <v>122</v>
      </c>
      <c r="C124" s="1" t="s">
        <v>161</v>
      </c>
      <c r="D124" s="1">
        <f>VLOOKUP(C124,Device!A:B,2,FALSE)</f>
        <v>1</v>
      </c>
      <c r="E124" s="5">
        <v>5</v>
      </c>
    </row>
    <row r="125" spans="1:5" ht="18.75" customHeight="1">
      <c r="A125" s="4" t="s">
        <v>156</v>
      </c>
      <c r="B125" s="1">
        <v>123</v>
      </c>
      <c r="C125" s="1" t="s">
        <v>161</v>
      </c>
      <c r="D125" s="1">
        <f>VLOOKUP(C125,Device!A:B,2,FALSE)</f>
        <v>1</v>
      </c>
      <c r="E125" s="5">
        <v>6</v>
      </c>
    </row>
    <row r="126" spans="1:5" ht="18.75" customHeight="1">
      <c r="A126" s="4" t="s">
        <v>157</v>
      </c>
      <c r="B126" s="1">
        <v>124</v>
      </c>
      <c r="C126" s="1" t="s">
        <v>161</v>
      </c>
      <c r="D126" s="1">
        <f>VLOOKUP(C126,Device!A:B,2,FALSE)</f>
        <v>1</v>
      </c>
      <c r="E126" s="5">
        <v>7</v>
      </c>
    </row>
    <row r="127" spans="1:5" ht="18.75" customHeight="1">
      <c r="A127" s="4" t="s">
        <v>158</v>
      </c>
      <c r="B127" s="1">
        <v>125</v>
      </c>
      <c r="C127" s="1" t="s">
        <v>161</v>
      </c>
      <c r="D127" s="1">
        <f>VLOOKUP(C127,Device!A:B,2,FALSE)</f>
        <v>1</v>
      </c>
      <c r="E127" s="5">
        <v>8</v>
      </c>
    </row>
    <row r="128" spans="1:5" ht="18.75" customHeight="1">
      <c r="A128" s="4" t="s">
        <v>159</v>
      </c>
      <c r="B128" s="1">
        <v>126</v>
      </c>
      <c r="C128" s="1" t="s">
        <v>161</v>
      </c>
      <c r="D128" s="1">
        <f>VLOOKUP(C128,Device!A:B,2,FALSE)</f>
        <v>1</v>
      </c>
      <c r="E128" s="5">
        <v>9</v>
      </c>
    </row>
    <row r="129" spans="1:5" ht="18.75" customHeight="1">
      <c r="A129" s="4" t="s">
        <v>160</v>
      </c>
      <c r="B129" s="1">
        <v>127</v>
      </c>
      <c r="C129" s="1" t="s">
        <v>161</v>
      </c>
      <c r="D129" s="1">
        <f>VLOOKUP(C129,Device!A:B,2,FALSE)</f>
        <v>1</v>
      </c>
      <c r="E129" s="5">
        <v>10</v>
      </c>
    </row>
    <row r="130" spans="1:5" ht="18.75" customHeight="1">
      <c r="E130" s="6"/>
    </row>
    <row r="131" spans="1:5" ht="18.75" customHeight="1">
      <c r="E131" s="6"/>
    </row>
    <row r="132" spans="1:5" ht="18.75" customHeight="1">
      <c r="E132" s="6"/>
    </row>
    <row r="133" spans="1:5" ht="18.75" customHeight="1">
      <c r="E133" s="6"/>
    </row>
    <row r="134" spans="1:5" ht="18.75" customHeight="1">
      <c r="E134" s="6"/>
    </row>
    <row r="135" spans="1:5" ht="18.75" customHeight="1">
      <c r="E135" s="6"/>
    </row>
    <row r="136" spans="1:5" ht="18.75" customHeight="1">
      <c r="E136" s="6"/>
    </row>
    <row r="137" spans="1:5" ht="18.75" customHeight="1">
      <c r="E137" s="6"/>
    </row>
    <row r="138" spans="1:5" ht="18.75" customHeight="1">
      <c r="E138" s="6"/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DC7583-8570-4210-8D8E-B98C6EB86515}">
          <x14:formula1>
            <xm:f>Device!$A:$A</xm:f>
          </x14:formula1>
          <xm:sqref>C2:C129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A4DB-6C78-44DC-A30A-4C66BF09A693}">
  <dimension ref="A1:N19"/>
  <sheetViews>
    <sheetView workbookViewId="0">
      <selection activeCell="C19" sqref="C19"/>
    </sheetView>
  </sheetViews>
  <sheetFormatPr defaultRowHeight="18.75"/>
  <cols>
    <col min="2" max="2" width="16.125" bestFit="1" customWidth="1"/>
    <col min="3" max="3" width="19.375" bestFit="1" customWidth="1"/>
    <col min="4" max="6" width="9" bestFit="1" customWidth="1"/>
    <col min="8" max="8" width="7.5" customWidth="1"/>
    <col min="9" max="9" width="9" bestFit="1" customWidth="1"/>
  </cols>
  <sheetData>
    <row r="1" spans="1:14">
      <c r="A1" s="2" t="s">
        <v>41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</row>
    <row r="2" spans="1:14">
      <c r="A2" s="2">
        <v>0</v>
      </c>
      <c r="B2" s="2" t="s">
        <v>26</v>
      </c>
      <c r="C2" s="2" t="s">
        <v>0</v>
      </c>
      <c r="D2" s="2" t="s">
        <v>11</v>
      </c>
      <c r="E2" s="2" t="s">
        <v>33</v>
      </c>
      <c r="F2" s="2" t="s">
        <v>33</v>
      </c>
      <c r="G2" s="2" t="s">
        <v>33</v>
      </c>
      <c r="H2" s="2" t="s">
        <v>33</v>
      </c>
      <c r="I2" s="2" t="e">
        <f>VLOOKUP(C2,KeyCode!A:B,2,FALSE)</f>
        <v>#N/A</v>
      </c>
      <c r="J2" s="2" t="e">
        <f>VLOOKUP(D2,KeyCode!A:B,2,FALSE)</f>
        <v>#N/A</v>
      </c>
      <c r="K2" s="2">
        <f>VLOOKUP(E2,KeyCode!A:B,2,FALSE)</f>
        <v>0</v>
      </c>
      <c r="L2" s="2">
        <f>VLOOKUP(F2,KeyCode!A:B,2,FALSE)</f>
        <v>0</v>
      </c>
      <c r="M2" s="2">
        <f>VLOOKUP(G2,KeyCode!A:B,2,FALSE)</f>
        <v>0</v>
      </c>
      <c r="N2" s="2">
        <f>VLOOKUP(H2,KeyCode!A:B,2,FALSE)</f>
        <v>0</v>
      </c>
    </row>
    <row r="3" spans="1:14">
      <c r="A3" s="2">
        <v>1</v>
      </c>
      <c r="B3" s="2" t="s">
        <v>27</v>
      </c>
      <c r="C3" s="2" t="s">
        <v>1</v>
      </c>
      <c r="D3" s="2" t="s">
        <v>12</v>
      </c>
      <c r="E3" s="2" t="s">
        <v>33</v>
      </c>
      <c r="F3" s="2" t="s">
        <v>33</v>
      </c>
      <c r="G3" s="2" t="s">
        <v>33</v>
      </c>
      <c r="H3" s="2" t="s">
        <v>33</v>
      </c>
      <c r="I3" s="2" t="e">
        <f>VLOOKUP(C3,KeyCode!A:B,2,FALSE)</f>
        <v>#N/A</v>
      </c>
      <c r="J3" s="2" t="e">
        <f>VLOOKUP(D3,KeyCode!A:B,2,FALSE)</f>
        <v>#N/A</v>
      </c>
      <c r="K3" s="2">
        <f>VLOOKUP(E3,KeyCode!A:B,2,FALSE)</f>
        <v>0</v>
      </c>
      <c r="L3" s="2">
        <f>VLOOKUP(F2,KeyCode!A:B,2,FALSE)</f>
        <v>0</v>
      </c>
      <c r="M3" s="2">
        <f>VLOOKUP(G2,KeyCode!A:B,2,FALSE)</f>
        <v>0</v>
      </c>
      <c r="N3" s="2">
        <f>VLOOKUP(H2,KeyCode!A:B,2,FALSE)</f>
        <v>0</v>
      </c>
    </row>
    <row r="4" spans="1:14">
      <c r="A4" s="2">
        <v>2</v>
      </c>
      <c r="B4" s="2" t="s">
        <v>28</v>
      </c>
      <c r="C4" s="2" t="s">
        <v>2</v>
      </c>
      <c r="D4" s="2" t="s">
        <v>13</v>
      </c>
      <c r="E4" s="2" t="s">
        <v>33</v>
      </c>
      <c r="F4" s="2" t="s">
        <v>33</v>
      </c>
      <c r="G4" s="2" t="s">
        <v>33</v>
      </c>
      <c r="H4" s="2" t="s">
        <v>33</v>
      </c>
      <c r="I4" s="2" t="e">
        <f>VLOOKUP(C4,KeyCode!A:B,2,FALSE)</f>
        <v>#N/A</v>
      </c>
      <c r="J4" s="2" t="e">
        <f>VLOOKUP(D4,KeyCode!A:B,2,FALSE)</f>
        <v>#N/A</v>
      </c>
      <c r="K4" s="2">
        <f>VLOOKUP(E4,KeyCode!A:B,2,FALSE)</f>
        <v>0</v>
      </c>
      <c r="L4" s="2">
        <f>VLOOKUP(F3,KeyCode!A:B,2,FALSE)</f>
        <v>0</v>
      </c>
      <c r="M4" s="2">
        <f>VLOOKUP(G3,KeyCode!A:B,2,FALSE)</f>
        <v>0</v>
      </c>
      <c r="N4" s="2">
        <f>VLOOKUP(H3,KeyCode!A:B,2,FALSE)</f>
        <v>0</v>
      </c>
    </row>
    <row r="5" spans="1:14">
      <c r="A5" s="2">
        <v>3</v>
      </c>
      <c r="B5" s="2" t="s">
        <v>29</v>
      </c>
      <c r="C5" s="2" t="s">
        <v>3</v>
      </c>
      <c r="D5" s="2" t="s">
        <v>14</v>
      </c>
      <c r="E5" s="2" t="s">
        <v>33</v>
      </c>
      <c r="F5" s="2" t="s">
        <v>33</v>
      </c>
      <c r="G5" s="2" t="s">
        <v>33</v>
      </c>
      <c r="H5" s="2" t="s">
        <v>33</v>
      </c>
      <c r="I5" s="2" t="e">
        <f>VLOOKUP(C5,KeyCode!A:B,2,FALSE)</f>
        <v>#N/A</v>
      </c>
      <c r="J5" s="2" t="e">
        <f>VLOOKUP(D5,KeyCode!A:B,2,FALSE)</f>
        <v>#N/A</v>
      </c>
      <c r="K5" s="2">
        <f>VLOOKUP(E5,KeyCode!A:B,2,FALSE)</f>
        <v>0</v>
      </c>
      <c r="L5" s="2">
        <f>VLOOKUP(F4,KeyCode!A:B,2,FALSE)</f>
        <v>0</v>
      </c>
      <c r="M5" s="2">
        <f>VLOOKUP(G4,KeyCode!A:B,2,FALSE)</f>
        <v>0</v>
      </c>
      <c r="N5" s="2">
        <f>VLOOKUP(H4,KeyCode!A:B,2,FALSE)</f>
        <v>0</v>
      </c>
    </row>
    <row r="6" spans="1:14">
      <c r="A6" s="2">
        <v>4</v>
      </c>
      <c r="B6" s="2" t="s">
        <v>30</v>
      </c>
      <c r="C6" s="2" t="s">
        <v>5</v>
      </c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e">
        <f>VLOOKUP(C6,KeyCode!A:B,2,FALSE)</f>
        <v>#N/A</v>
      </c>
      <c r="J6" s="2">
        <f>VLOOKUP(D6,KeyCode!A:B,2,FALSE)</f>
        <v>0</v>
      </c>
      <c r="K6" s="2">
        <f>VLOOKUP(E6,KeyCode!A:B,2,FALSE)</f>
        <v>0</v>
      </c>
      <c r="L6" s="2">
        <f>VLOOKUP(F5,KeyCode!A:B,2,FALSE)</f>
        <v>0</v>
      </c>
      <c r="M6" s="2">
        <f>VLOOKUP(G5,KeyCode!A:B,2,FALSE)</f>
        <v>0</v>
      </c>
      <c r="N6" s="2">
        <f>VLOOKUP(H5,KeyCode!A:B,2,FALSE)</f>
        <v>0</v>
      </c>
    </row>
    <row r="7" spans="1:14">
      <c r="A7" s="2">
        <v>5</v>
      </c>
      <c r="B7" s="2" t="s">
        <v>31</v>
      </c>
      <c r="C7" s="2" t="s">
        <v>6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e">
        <f>VLOOKUP(C7,KeyCode!A:B,2,FALSE)</f>
        <v>#N/A</v>
      </c>
      <c r="J7" s="2">
        <f>VLOOKUP(D7,KeyCode!A:B,2,FALSE)</f>
        <v>0</v>
      </c>
      <c r="K7" s="2">
        <f>VLOOKUP(E7,KeyCode!A:B,2,FALSE)</f>
        <v>0</v>
      </c>
      <c r="L7" s="2">
        <f>VLOOKUP(F6,KeyCode!A:B,2,FALSE)</f>
        <v>0</v>
      </c>
      <c r="M7" s="2">
        <f>VLOOKUP(G6,KeyCode!A:B,2,FALSE)</f>
        <v>0</v>
      </c>
      <c r="N7" s="2">
        <f>VLOOKUP(H6,KeyCode!A:B,2,FALSE)</f>
        <v>0</v>
      </c>
    </row>
    <row r="8" spans="1:14">
      <c r="A8" s="2">
        <v>6</v>
      </c>
      <c r="B8" s="2" t="s">
        <v>32</v>
      </c>
      <c r="C8" s="2" t="s">
        <v>4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e">
        <f>VLOOKUP(C8,KeyCode!A:B,2,FALSE)</f>
        <v>#N/A</v>
      </c>
      <c r="J8" s="2">
        <f>VLOOKUP(D8,KeyCode!A:B,2,FALSE)</f>
        <v>0</v>
      </c>
      <c r="K8" s="2">
        <f>VLOOKUP(E8,KeyCode!A:B,2,FALSE)</f>
        <v>0</v>
      </c>
      <c r="L8" s="2">
        <f>VLOOKUP(F7,KeyCode!A:B,2,FALSE)</f>
        <v>0</v>
      </c>
      <c r="M8" s="2">
        <f>VLOOKUP(G7,KeyCode!A:B,2,FALSE)</f>
        <v>0</v>
      </c>
      <c r="N8" s="2">
        <f>VLOOKUP(H7,KeyCode!A:B,2,FALSE)</f>
        <v>0</v>
      </c>
    </row>
    <row r="9" spans="1:14">
      <c r="A9" s="2">
        <v>7</v>
      </c>
      <c r="B9" s="2" t="s">
        <v>54</v>
      </c>
      <c r="C9" s="2" t="s">
        <v>8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e">
        <f>VLOOKUP(C9,KeyCode!A:B,2,FALSE)</f>
        <v>#N/A</v>
      </c>
      <c r="J9" s="2">
        <f>VLOOKUP(D9,KeyCode!A:B,2,FALSE)</f>
        <v>0</v>
      </c>
      <c r="K9" s="2">
        <f>VLOOKUP(E9,KeyCode!A:B,2,FALSE)</f>
        <v>0</v>
      </c>
      <c r="L9" s="2">
        <f>VLOOKUP(F8,KeyCode!A:B,2,FALSE)</f>
        <v>0</v>
      </c>
      <c r="M9" s="2">
        <f>VLOOKUP(G8,KeyCode!A:B,2,FALSE)</f>
        <v>0</v>
      </c>
      <c r="N9" s="2">
        <f>VLOOKUP(H8,KeyCode!A:B,2,FALSE)</f>
        <v>0</v>
      </c>
    </row>
    <row r="10" spans="1:14">
      <c r="A10" s="2">
        <v>8</v>
      </c>
      <c r="B10" s="2" t="s">
        <v>47</v>
      </c>
      <c r="C10" s="2" t="s">
        <v>55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e">
        <f>VLOOKUP(C10,KeyCode!A:B,2,FALSE)</f>
        <v>#N/A</v>
      </c>
      <c r="J10" s="2">
        <f>VLOOKUP(D10,KeyCode!A:B,2,FALSE)</f>
        <v>0</v>
      </c>
      <c r="K10" s="2">
        <f>VLOOKUP(E10,KeyCode!A:B,2,FALSE)</f>
        <v>0</v>
      </c>
      <c r="L10" s="2">
        <f>VLOOKUP(F8,KeyCode!A:B,2,FALSE)</f>
        <v>0</v>
      </c>
      <c r="M10" s="2">
        <f>VLOOKUP(G8,KeyCode!A:B,2,FALSE)</f>
        <v>0</v>
      </c>
      <c r="N10" s="2">
        <f>VLOOKUP(H8,KeyCode!A:B,2,FALSE)</f>
        <v>0</v>
      </c>
    </row>
    <row r="11" spans="1:14">
      <c r="A11" s="2">
        <v>9</v>
      </c>
      <c r="B11" s="2" t="s">
        <v>48</v>
      </c>
      <c r="C11" s="2" t="s">
        <v>55</v>
      </c>
      <c r="D11" s="2" t="s">
        <v>50</v>
      </c>
      <c r="E11" s="2" t="s">
        <v>33</v>
      </c>
      <c r="F11" s="2" t="s">
        <v>33</v>
      </c>
      <c r="G11" s="2" t="s">
        <v>33</v>
      </c>
      <c r="H11" s="2" t="s">
        <v>33</v>
      </c>
      <c r="I11" s="2" t="e">
        <f>VLOOKUP(C11,KeyCode!A:B,2,FALSE)</f>
        <v>#N/A</v>
      </c>
      <c r="J11" s="2" t="e">
        <f>VLOOKUP(D11,KeyCode!A:B,2,FALSE)</f>
        <v>#N/A</v>
      </c>
      <c r="K11" s="2">
        <f>VLOOKUP(E11,KeyCode!A:B,2,FALSE)</f>
        <v>0</v>
      </c>
      <c r="L11" s="2">
        <f>VLOOKUP(F10,KeyCode!A:B,2,FALSE)</f>
        <v>0</v>
      </c>
      <c r="M11" s="2">
        <f>VLOOKUP(G10,KeyCode!A:B,2,FALSE)</f>
        <v>0</v>
      </c>
      <c r="N11" s="2">
        <f>VLOOKUP(H10,KeyCode!A:B,2,FALSE)</f>
        <v>0</v>
      </c>
    </row>
    <row r="12" spans="1:14">
      <c r="A12" s="3">
        <v>10</v>
      </c>
      <c r="B12" s="2" t="s">
        <v>49</v>
      </c>
      <c r="C12" s="2" t="s">
        <v>56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e">
        <f>VLOOKUP(C12,KeyCode!A:B,2,FALSE)</f>
        <v>#N/A</v>
      </c>
      <c r="J12" s="2">
        <f>VLOOKUP(D12,KeyCode!A:B,2,FALSE)</f>
        <v>0</v>
      </c>
      <c r="K12" s="2">
        <f>VLOOKUP(E12,KeyCode!A:B,2,FALSE)</f>
        <v>0</v>
      </c>
      <c r="L12" s="2">
        <f>VLOOKUP(F11,KeyCode!A:B,2,FALSE)</f>
        <v>0</v>
      </c>
      <c r="M12" s="2">
        <f>VLOOKUP(G11,KeyCode!A:B,2,FALSE)</f>
        <v>0</v>
      </c>
      <c r="N12" s="2">
        <f>VLOOKUP(H11,KeyCode!A:B,2,FALSE)</f>
        <v>0</v>
      </c>
    </row>
    <row r="13" spans="1:14">
      <c r="A13" s="3">
        <v>11</v>
      </c>
      <c r="B13" s="3" t="s">
        <v>51</v>
      </c>
      <c r="C13" s="2" t="s">
        <v>9</v>
      </c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33</v>
      </c>
      <c r="I13" s="2" t="e">
        <f>VLOOKUP(C13,KeyCode!A:B,2,FALSE)</f>
        <v>#N/A</v>
      </c>
      <c r="J13" s="2">
        <f>VLOOKUP(D13,KeyCode!A:B,2,FALSE)</f>
        <v>0</v>
      </c>
      <c r="K13" s="2">
        <f>VLOOKUP(E13,KeyCode!A:B,2,FALSE)</f>
        <v>0</v>
      </c>
      <c r="L13" s="2">
        <f>VLOOKUP(F12,KeyCode!A:B,2,FALSE)</f>
        <v>0</v>
      </c>
      <c r="M13" s="2">
        <f>VLOOKUP(G12,KeyCode!A:B,2,FALSE)</f>
        <v>0</v>
      </c>
      <c r="N13" s="2">
        <f>VLOOKUP(H12,KeyCode!A:B,2,FALSE)</f>
        <v>0</v>
      </c>
    </row>
    <row r="14" spans="1:14">
      <c r="A14" s="3">
        <v>12</v>
      </c>
      <c r="B14" s="3" t="s">
        <v>52</v>
      </c>
      <c r="C14" s="2" t="s">
        <v>10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e">
        <f>VLOOKUP(C14,KeyCode!A:B,2,FALSE)</f>
        <v>#N/A</v>
      </c>
      <c r="J14" s="2">
        <f>VLOOKUP(D14,KeyCode!A:B,2,FALSE)</f>
        <v>0</v>
      </c>
      <c r="K14" s="2">
        <f>VLOOKUP(E14,KeyCode!A:B,2,FALSE)</f>
        <v>0</v>
      </c>
      <c r="L14" s="2">
        <f>VLOOKUP(F13,KeyCode!A:B,2,FALSE)</f>
        <v>0</v>
      </c>
      <c r="M14" s="2">
        <f>VLOOKUP(G13,KeyCode!A:B,2,FALSE)</f>
        <v>0</v>
      </c>
      <c r="N14" s="2">
        <f>VLOOKUP(H13,KeyCode!A:B,2,FALSE)</f>
        <v>0</v>
      </c>
    </row>
    <row r="15" spans="1:14">
      <c r="A15" s="3">
        <v>13</v>
      </c>
      <c r="B15" s="3" t="s">
        <v>53</v>
      </c>
      <c r="C15" s="2" t="s">
        <v>6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e">
        <f>VLOOKUP(C15,KeyCode!A:B,2,FALSE)</f>
        <v>#N/A</v>
      </c>
      <c r="J15" s="2">
        <f>VLOOKUP(D15,KeyCode!A:B,2,FALSE)</f>
        <v>0</v>
      </c>
      <c r="K15" s="2">
        <f>VLOOKUP(E15,KeyCode!A:B,2,FALSE)</f>
        <v>0</v>
      </c>
      <c r="L15" s="2">
        <f>VLOOKUP(F14,KeyCode!A:B,2,FALSE)</f>
        <v>0</v>
      </c>
      <c r="M15" s="2">
        <f>VLOOKUP(G14,KeyCode!A:B,2,FALSE)</f>
        <v>0</v>
      </c>
      <c r="N15" s="2">
        <f>VLOOKUP(H14,KeyCode!A:B,2,FALSE)</f>
        <v>0</v>
      </c>
    </row>
    <row r="16" spans="1:14">
      <c r="A16" s="3">
        <v>14</v>
      </c>
      <c r="B16" s="3" t="s">
        <v>57</v>
      </c>
      <c r="C16" s="2" t="s">
        <v>50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e">
        <f>VLOOKUP(C16,KeyCode!A:B,2,FALSE)</f>
        <v>#N/A</v>
      </c>
      <c r="J16" s="2">
        <f>VLOOKUP(D16,KeyCode!A:B,2,FALSE)</f>
        <v>0</v>
      </c>
      <c r="K16" s="2">
        <f>VLOOKUP(E16,KeyCode!A:B,2,FALSE)</f>
        <v>0</v>
      </c>
      <c r="L16" s="2">
        <f>VLOOKUP(F15,KeyCode!A:B,2,FALSE)</f>
        <v>0</v>
      </c>
      <c r="M16" s="2">
        <f>VLOOKUP(G15,KeyCode!A:B,2,FALSE)</f>
        <v>0</v>
      </c>
      <c r="N16" s="2">
        <f>VLOOKUP(H15,KeyCode!A:B,2,FALSE)</f>
        <v>0</v>
      </c>
    </row>
    <row r="17" spans="1:14">
      <c r="A17" s="3">
        <v>15</v>
      </c>
      <c r="B17" s="3" t="s">
        <v>58</v>
      </c>
      <c r="C17" s="2" t="s">
        <v>1</v>
      </c>
      <c r="D17" s="2" t="s">
        <v>3</v>
      </c>
      <c r="E17" s="2" t="s">
        <v>33</v>
      </c>
      <c r="F17" s="2" t="s">
        <v>33</v>
      </c>
      <c r="G17" s="2" t="s">
        <v>33</v>
      </c>
      <c r="H17" s="2" t="s">
        <v>33</v>
      </c>
      <c r="I17" s="2" t="e">
        <f>VLOOKUP(C17,KeyCode!A:B,2,FALSE)</f>
        <v>#N/A</v>
      </c>
      <c r="J17" s="2" t="e">
        <f>VLOOKUP(D17,KeyCode!A:B,2,FALSE)</f>
        <v>#N/A</v>
      </c>
      <c r="K17" s="2">
        <f>VLOOKUP(E17,KeyCode!A:B,2,FALSE)</f>
        <v>0</v>
      </c>
      <c r="L17" s="2">
        <f>VLOOKUP(F16,KeyCode!A:B,2,FALSE)</f>
        <v>0</v>
      </c>
      <c r="M17" s="2">
        <f>VLOOKUP(G16,KeyCode!A:B,2,FALSE)</f>
        <v>0</v>
      </c>
      <c r="N17" s="2">
        <f>VLOOKUP(H16,KeyCode!A:B,2,FALSE)</f>
        <v>0</v>
      </c>
    </row>
    <row r="18" spans="1:14">
      <c r="A18" s="3">
        <v>16</v>
      </c>
      <c r="B18" s="3" t="s">
        <v>59</v>
      </c>
      <c r="C18" s="2" t="s">
        <v>7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e">
        <f>VLOOKUP(C18,KeyCode!A:B,2,FALSE)</f>
        <v>#N/A</v>
      </c>
      <c r="J18" s="2">
        <f>VLOOKUP(D18,KeyCode!A:B,2,FALSE)</f>
        <v>0</v>
      </c>
      <c r="K18" s="2">
        <f>VLOOKUP(E18,KeyCode!A:B,2,FALSE)</f>
        <v>0</v>
      </c>
      <c r="L18" s="2">
        <f>VLOOKUP(F17,KeyCode!A:B,2,FALSE)</f>
        <v>0</v>
      </c>
      <c r="M18" s="2">
        <f>VLOOKUP(G17,KeyCode!A:B,2,FALSE)</f>
        <v>0</v>
      </c>
      <c r="N18" s="2">
        <f>VLOOKUP(H17,KeyCode!A:B,2,FALSE)</f>
        <v>0</v>
      </c>
    </row>
    <row r="19" spans="1:14">
      <c r="A19" s="3">
        <v>17</v>
      </c>
      <c r="B19" s="3" t="s">
        <v>60</v>
      </c>
      <c r="C19" s="2" t="s">
        <v>5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e">
        <f>VLOOKUP(C19,KeyCode!A:B,2,FALSE)</f>
        <v>#N/A</v>
      </c>
      <c r="J19" s="2">
        <f>VLOOKUP(D19,KeyCode!A:B,2,FALSE)</f>
        <v>0</v>
      </c>
      <c r="K19" s="2">
        <f>VLOOKUP(E19,KeyCode!A:B,2,FALSE)</f>
        <v>0</v>
      </c>
      <c r="L19" s="2">
        <f>VLOOKUP(F18,KeyCode!A:B,2,FALSE)</f>
        <v>0</v>
      </c>
      <c r="M19" s="2">
        <f>VLOOKUP(G18,KeyCode!A:B,2,FALSE)</f>
        <v>0</v>
      </c>
      <c r="N19" s="2">
        <f>VLOOKUP(H18,KeyCode!A:B,2,FALSE)</f>
        <v>0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8EE910-D8B9-4110-B14F-511918AF8E1A}">
          <x14:formula1>
            <xm:f>KeyCode!$A$2:$A$1048576</xm:f>
          </x14:formula1>
          <xm:sqref>C2:H19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8502-092A-4FDA-8EF8-EB558747B523}">
  <dimension ref="A1:B4"/>
  <sheetViews>
    <sheetView workbookViewId="0">
      <selection activeCell="B5" sqref="B5"/>
    </sheetView>
  </sheetViews>
  <sheetFormatPr defaultRowHeight="18.75"/>
  <sheetData>
    <row r="1" spans="1:2">
      <c r="A1" t="s">
        <v>34</v>
      </c>
      <c r="B1">
        <v>-1</v>
      </c>
    </row>
    <row r="2" spans="1:2">
      <c r="A2" t="s">
        <v>16</v>
      </c>
      <c r="B2">
        <v>0</v>
      </c>
    </row>
    <row r="3" spans="1:2">
      <c r="A3" t="s">
        <v>17</v>
      </c>
      <c r="B3">
        <v>1</v>
      </c>
    </row>
    <row r="4" spans="1:2">
      <c r="A4" t="s">
        <v>18</v>
      </c>
      <c r="B4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KeyCode</vt:lpstr>
      <vt:lpstr>Action</vt:lpstr>
      <vt:lpstr>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2026-09-11T03:38:37Z</dcterms:modified>
</cp:coreProperties>
</file>